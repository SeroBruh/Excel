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lga\projects\academica\final\"/>
    </mc:Choice>
  </mc:AlternateContent>
  <xr:revisionPtr revIDLastSave="0" documentId="8_{C32D98A1-CA2B-4982-B067-AB58683F29C9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Лист1" sheetId="1" r:id="rId1"/>
    <sheet name="Лист2" sheetId="2" r:id="rId2"/>
    <sheet name="Решение" sheetId="4" r:id="rId3"/>
  </sheets>
  <calcPr calcId="191029"/>
  <pivotCaches>
    <pivotCache cacheId="3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H2" i="1" l="1"/>
  <c r="H3" i="1"/>
  <c r="H75" i="1"/>
  <c r="H76" i="1"/>
  <c r="H273" i="1"/>
  <c r="H274" i="1"/>
  <c r="H277" i="1"/>
  <c r="H84" i="1"/>
  <c r="H88" i="1"/>
  <c r="H280" i="1"/>
  <c r="H92" i="1"/>
  <c r="H17" i="1"/>
  <c r="H183" i="1"/>
  <c r="H96" i="1"/>
  <c r="H185" i="1"/>
  <c r="H288" i="1"/>
  <c r="H291" i="1"/>
  <c r="H292" i="1"/>
  <c r="H390" i="1"/>
  <c r="H109" i="1"/>
  <c r="H33" i="1"/>
  <c r="H394" i="1"/>
  <c r="H36" i="1"/>
  <c r="H195" i="1"/>
  <c r="H304" i="1"/>
  <c r="H121" i="1"/>
  <c r="H478" i="1"/>
  <c r="H404" i="1"/>
  <c r="H45" i="1"/>
  <c r="H202" i="1"/>
  <c r="H47" i="1"/>
  <c r="H48" i="1"/>
  <c r="H412" i="1"/>
  <c r="H51" i="1"/>
  <c r="H319" i="1"/>
  <c r="H142" i="1"/>
  <c r="H56" i="1"/>
  <c r="H481" i="1"/>
  <c r="H149" i="1"/>
  <c r="H60" i="1"/>
  <c r="H155" i="1"/>
  <c r="H62" i="1"/>
  <c r="H64" i="1"/>
  <c r="H219" i="1"/>
  <c r="H431" i="1"/>
  <c r="H68" i="1"/>
  <c r="H221" i="1"/>
  <c r="H434" i="1"/>
  <c r="H484" i="1"/>
  <c r="H485" i="1"/>
  <c r="H488" i="1"/>
  <c r="H441" i="1"/>
  <c r="H442" i="1"/>
  <c r="H231" i="1"/>
  <c r="H232" i="1"/>
  <c r="H445" i="1"/>
  <c r="H237" i="1"/>
  <c r="H238" i="1"/>
  <c r="H449" i="1"/>
  <c r="H243" i="1"/>
  <c r="H244" i="1"/>
  <c r="H453" i="1"/>
  <c r="H249" i="1"/>
  <c r="H250" i="1"/>
  <c r="H457" i="1"/>
  <c r="H255" i="1"/>
  <c r="H256" i="1"/>
  <c r="H461" i="1"/>
  <c r="H261" i="1"/>
  <c r="H262" i="1"/>
  <c r="H465" i="1"/>
  <c r="I364" i="1"/>
  <c r="I365" i="1"/>
  <c r="I168" i="1"/>
  <c r="I266" i="1"/>
  <c r="I267" i="1"/>
  <c r="I70" i="1"/>
  <c r="I71" i="1"/>
  <c r="I2" i="1"/>
  <c r="I3" i="1"/>
  <c r="I366" i="1"/>
  <c r="I4" i="1"/>
  <c r="I169" i="1"/>
  <c r="I268" i="1"/>
  <c r="I269" i="1"/>
  <c r="I72" i="1"/>
  <c r="I5" i="1"/>
  <c r="I170" i="1"/>
  <c r="I73" i="1"/>
  <c r="I74" i="1"/>
  <c r="I270" i="1"/>
  <c r="I367" i="1"/>
  <c r="I6" i="1"/>
  <c r="I171" i="1"/>
  <c r="I75" i="1"/>
  <c r="I76" i="1"/>
  <c r="I368" i="1"/>
  <c r="I471" i="1"/>
  <c r="I369" i="1"/>
  <c r="I370" i="1"/>
  <c r="I172" i="1"/>
  <c r="I271" i="1"/>
  <c r="I272" i="1"/>
  <c r="I77" i="1"/>
  <c r="I78" i="1"/>
  <c r="I7" i="1"/>
  <c r="I8" i="1"/>
  <c r="I371" i="1"/>
  <c r="I9" i="1"/>
  <c r="I173" i="1"/>
  <c r="I273" i="1"/>
  <c r="I274" i="1"/>
  <c r="I79" i="1"/>
  <c r="I10" i="1"/>
  <c r="I174" i="1"/>
  <c r="I80" i="1"/>
  <c r="I81" i="1"/>
  <c r="I275" i="1"/>
  <c r="I372" i="1"/>
  <c r="I11" i="1"/>
  <c r="I175" i="1"/>
  <c r="I82" i="1"/>
  <c r="I83" i="1"/>
  <c r="I373" i="1"/>
  <c r="I176" i="1"/>
  <c r="I276" i="1"/>
  <c r="I277" i="1"/>
  <c r="I84" i="1"/>
  <c r="I85" i="1"/>
  <c r="I12" i="1"/>
  <c r="I13" i="1"/>
  <c r="I374" i="1"/>
  <c r="I14" i="1"/>
  <c r="I177" i="1"/>
  <c r="I278" i="1"/>
  <c r="I279" i="1"/>
  <c r="I86" i="1"/>
  <c r="I15" i="1"/>
  <c r="I178" i="1"/>
  <c r="I472" i="1"/>
  <c r="I87" i="1"/>
  <c r="I375" i="1"/>
  <c r="I88" i="1"/>
  <c r="I280" i="1"/>
  <c r="I376" i="1"/>
  <c r="I377" i="1"/>
  <c r="I16" i="1"/>
  <c r="I179" i="1"/>
  <c r="I89" i="1"/>
  <c r="I90" i="1"/>
  <c r="I378" i="1"/>
  <c r="I473" i="1"/>
  <c r="I379" i="1"/>
  <c r="I380" i="1"/>
  <c r="I180" i="1"/>
  <c r="I281" i="1"/>
  <c r="I282" i="1"/>
  <c r="I91" i="1"/>
  <c r="I92" i="1"/>
  <c r="I17" i="1"/>
  <c r="I18" i="1"/>
  <c r="I381" i="1"/>
  <c r="I19" i="1"/>
  <c r="I181" i="1"/>
  <c r="I283" i="1"/>
  <c r="I284" i="1"/>
  <c r="I93" i="1"/>
  <c r="I20" i="1"/>
  <c r="I182" i="1"/>
  <c r="I94" i="1"/>
  <c r="I95" i="1"/>
  <c r="I285" i="1"/>
  <c r="I382" i="1"/>
  <c r="I21" i="1"/>
  <c r="I183" i="1"/>
  <c r="I96" i="1"/>
  <c r="I97" i="1"/>
  <c r="I383" i="1"/>
  <c r="I474" i="1"/>
  <c r="I384" i="1"/>
  <c r="I385" i="1"/>
  <c r="I184" i="1"/>
  <c r="I286" i="1"/>
  <c r="I287" i="1"/>
  <c r="I98" i="1"/>
  <c r="I99" i="1"/>
  <c r="I22" i="1"/>
  <c r="I23" i="1"/>
  <c r="I386" i="1"/>
  <c r="I24" i="1"/>
  <c r="I185" i="1"/>
  <c r="I288" i="1"/>
  <c r="I289" i="1"/>
  <c r="I100" i="1"/>
  <c r="I25" i="1"/>
  <c r="I186" i="1"/>
  <c r="I101" i="1"/>
  <c r="I102" i="1"/>
  <c r="I290" i="1"/>
  <c r="I387" i="1"/>
  <c r="I26" i="1"/>
  <c r="I187" i="1"/>
  <c r="I103" i="1"/>
  <c r="I104" i="1"/>
  <c r="I388" i="1"/>
  <c r="I188" i="1"/>
  <c r="I291" i="1"/>
  <c r="I292" i="1"/>
  <c r="I105" i="1"/>
  <c r="I106" i="1"/>
  <c r="I27" i="1"/>
  <c r="I28" i="1"/>
  <c r="I389" i="1"/>
  <c r="I29" i="1"/>
  <c r="I189" i="1"/>
  <c r="I293" i="1"/>
  <c r="I294" i="1"/>
  <c r="I107" i="1"/>
  <c r="I30" i="1"/>
  <c r="I190" i="1"/>
  <c r="I475" i="1"/>
  <c r="I108" i="1"/>
  <c r="I390" i="1"/>
  <c r="I109" i="1"/>
  <c r="I295" i="1"/>
  <c r="I391" i="1"/>
  <c r="I392" i="1"/>
  <c r="I31" i="1"/>
  <c r="I191" i="1"/>
  <c r="I110" i="1"/>
  <c r="I111" i="1"/>
  <c r="I393" i="1"/>
  <c r="I192" i="1"/>
  <c r="I296" i="1"/>
  <c r="I297" i="1"/>
  <c r="I112" i="1"/>
  <c r="I113" i="1"/>
  <c r="I32" i="1"/>
  <c r="I33" i="1"/>
  <c r="I394" i="1"/>
  <c r="I34" i="1"/>
  <c r="I193" i="1"/>
  <c r="I298" i="1"/>
  <c r="I299" i="1"/>
  <c r="I114" i="1"/>
  <c r="I35" i="1"/>
  <c r="I194" i="1"/>
  <c r="I476" i="1"/>
  <c r="I115" i="1"/>
  <c r="I395" i="1"/>
  <c r="I116" i="1"/>
  <c r="I300" i="1"/>
  <c r="I396" i="1"/>
  <c r="I397" i="1"/>
  <c r="I36" i="1"/>
  <c r="I195" i="1"/>
  <c r="I117" i="1"/>
  <c r="I118" i="1"/>
  <c r="I398" i="1"/>
  <c r="I196" i="1"/>
  <c r="I301" i="1"/>
  <c r="I302" i="1"/>
  <c r="I119" i="1"/>
  <c r="I120" i="1"/>
  <c r="I37" i="1"/>
  <c r="I38" i="1"/>
  <c r="I399" i="1"/>
  <c r="I39" i="1"/>
  <c r="I197" i="1"/>
  <c r="I303" i="1"/>
  <c r="I304" i="1"/>
  <c r="I121" i="1"/>
  <c r="I40" i="1"/>
  <c r="I198" i="1"/>
  <c r="I477" i="1"/>
  <c r="I122" i="1"/>
  <c r="I400" i="1"/>
  <c r="I123" i="1"/>
  <c r="I305" i="1"/>
  <c r="I401" i="1"/>
  <c r="I402" i="1"/>
  <c r="I41" i="1"/>
  <c r="I199" i="1"/>
  <c r="I124" i="1"/>
  <c r="I125" i="1"/>
  <c r="I403" i="1"/>
  <c r="I478" i="1"/>
  <c r="I404" i="1"/>
  <c r="I405" i="1"/>
  <c r="I200" i="1"/>
  <c r="I306" i="1"/>
  <c r="I307" i="1"/>
  <c r="I126" i="1"/>
  <c r="I127" i="1"/>
  <c r="I42" i="1"/>
  <c r="I43" i="1"/>
  <c r="I406" i="1"/>
  <c r="I44" i="1"/>
  <c r="I201" i="1"/>
  <c r="I308" i="1"/>
  <c r="I309" i="1"/>
  <c r="I128" i="1"/>
  <c r="I45" i="1"/>
  <c r="I202" i="1"/>
  <c r="I129" i="1"/>
  <c r="I130" i="1"/>
  <c r="I310" i="1"/>
  <c r="I407" i="1"/>
  <c r="I46" i="1"/>
  <c r="I203" i="1"/>
  <c r="I131" i="1"/>
  <c r="I132" i="1"/>
  <c r="I408" i="1"/>
  <c r="I204" i="1"/>
  <c r="I311" i="1"/>
  <c r="I312" i="1"/>
  <c r="I133" i="1"/>
  <c r="I134" i="1"/>
  <c r="I47" i="1"/>
  <c r="I48" i="1"/>
  <c r="I409" i="1"/>
  <c r="I49" i="1"/>
  <c r="I205" i="1"/>
  <c r="I313" i="1"/>
  <c r="I314" i="1"/>
  <c r="I135" i="1"/>
  <c r="I50" i="1"/>
  <c r="I206" i="1"/>
  <c r="I479" i="1"/>
  <c r="I136" i="1"/>
  <c r="I410" i="1"/>
  <c r="I137" i="1"/>
  <c r="I315" i="1"/>
  <c r="I411" i="1"/>
  <c r="I412" i="1"/>
  <c r="I51" i="1"/>
  <c r="I207" i="1"/>
  <c r="I138" i="1"/>
  <c r="I139" i="1"/>
  <c r="I413" i="1"/>
  <c r="I208" i="1"/>
  <c r="I316" i="1"/>
  <c r="I317" i="1"/>
  <c r="I140" i="1"/>
  <c r="I141" i="1"/>
  <c r="I52" i="1"/>
  <c r="I414" i="1"/>
  <c r="I53" i="1"/>
  <c r="I209" i="1"/>
  <c r="I318" i="1"/>
  <c r="I319" i="1"/>
  <c r="I142" i="1"/>
  <c r="I210" i="1"/>
  <c r="I480" i="1"/>
  <c r="I143" i="1"/>
  <c r="I415" i="1"/>
  <c r="I144" i="1"/>
  <c r="I320" i="1"/>
  <c r="I416" i="1"/>
  <c r="I417" i="1"/>
  <c r="I54" i="1"/>
  <c r="I211" i="1"/>
  <c r="I145" i="1"/>
  <c r="I146" i="1"/>
  <c r="I418" i="1"/>
  <c r="I55" i="1"/>
  <c r="I56" i="1"/>
  <c r="I481" i="1"/>
  <c r="I419" i="1"/>
  <c r="I420" i="1"/>
  <c r="I212" i="1"/>
  <c r="I321" i="1"/>
  <c r="I322" i="1"/>
  <c r="I147" i="1"/>
  <c r="I148" i="1"/>
  <c r="I57" i="1"/>
  <c r="I58" i="1"/>
  <c r="I421" i="1"/>
  <c r="I59" i="1"/>
  <c r="I213" i="1"/>
  <c r="I323" i="1"/>
  <c r="I324" i="1"/>
  <c r="I149" i="1"/>
  <c r="I60" i="1"/>
  <c r="I214" i="1"/>
  <c r="I150" i="1"/>
  <c r="I151" i="1"/>
  <c r="I325" i="1"/>
  <c r="I422" i="1"/>
  <c r="I61" i="1"/>
  <c r="I215" i="1"/>
  <c r="I152" i="1"/>
  <c r="I153" i="1"/>
  <c r="I423" i="1"/>
  <c r="I216" i="1"/>
  <c r="I326" i="1"/>
  <c r="I327" i="1"/>
  <c r="I154" i="1"/>
  <c r="I155" i="1"/>
  <c r="I62" i="1"/>
  <c r="I424" i="1"/>
  <c r="I63" i="1"/>
  <c r="I217" i="1"/>
  <c r="I328" i="1"/>
  <c r="I329" i="1"/>
  <c r="I156" i="1"/>
  <c r="I218" i="1"/>
  <c r="I482" i="1"/>
  <c r="I157" i="1"/>
  <c r="I425" i="1"/>
  <c r="I158" i="1"/>
  <c r="I330" i="1"/>
  <c r="I426" i="1"/>
  <c r="I427" i="1"/>
  <c r="I64" i="1"/>
  <c r="I219" i="1"/>
  <c r="I159" i="1"/>
  <c r="I160" i="1"/>
  <c r="I428" i="1"/>
  <c r="I65" i="1"/>
  <c r="I66" i="1"/>
  <c r="I483" i="1"/>
  <c r="I429" i="1"/>
  <c r="I430" i="1"/>
  <c r="I220" i="1"/>
  <c r="I331" i="1"/>
  <c r="I332" i="1"/>
  <c r="I161" i="1"/>
  <c r="I162" i="1"/>
  <c r="I67" i="1"/>
  <c r="I431" i="1"/>
  <c r="I68" i="1"/>
  <c r="I221" i="1"/>
  <c r="I333" i="1"/>
  <c r="I334" i="1"/>
  <c r="I163" i="1"/>
  <c r="I222" i="1"/>
  <c r="I164" i="1"/>
  <c r="I165" i="1"/>
  <c r="I335" i="1"/>
  <c r="I432" i="1"/>
  <c r="I69" i="1"/>
  <c r="I223" i="1"/>
  <c r="I166" i="1"/>
  <c r="I167" i="1"/>
  <c r="I433" i="1"/>
  <c r="I434" i="1"/>
  <c r="I484" i="1"/>
  <c r="I485" i="1"/>
  <c r="I435" i="1"/>
  <c r="I436" i="1"/>
  <c r="I437" i="1"/>
  <c r="I438" i="1"/>
  <c r="I336" i="1"/>
  <c r="I486" i="1"/>
  <c r="I224" i="1"/>
  <c r="I439" i="1"/>
  <c r="I440" i="1"/>
  <c r="I337" i="1"/>
  <c r="I225" i="1"/>
  <c r="I226" i="1"/>
  <c r="I487" i="1"/>
  <c r="I488" i="1"/>
  <c r="I441" i="1"/>
  <c r="I442" i="1"/>
  <c r="I338" i="1"/>
  <c r="I489" i="1"/>
  <c r="I490" i="1"/>
  <c r="I227" i="1"/>
  <c r="I339" i="1"/>
  <c r="I228" i="1"/>
  <c r="I229" i="1"/>
  <c r="I443" i="1"/>
  <c r="I340" i="1"/>
  <c r="I491" i="1"/>
  <c r="I230" i="1"/>
  <c r="I444" i="1"/>
  <c r="I341" i="1"/>
  <c r="I231" i="1"/>
  <c r="I232" i="1"/>
  <c r="I445" i="1"/>
  <c r="I446" i="1"/>
  <c r="I342" i="1"/>
  <c r="I492" i="1"/>
  <c r="I233" i="1"/>
  <c r="I343" i="1"/>
  <c r="I234" i="1"/>
  <c r="I235" i="1"/>
  <c r="I447" i="1"/>
  <c r="I448" i="1"/>
  <c r="I344" i="1"/>
  <c r="I493" i="1"/>
  <c r="I236" i="1"/>
  <c r="I345" i="1"/>
  <c r="I237" i="1"/>
  <c r="I238" i="1"/>
  <c r="I449" i="1"/>
  <c r="I346" i="1"/>
  <c r="I494" i="1"/>
  <c r="I239" i="1"/>
  <c r="I450" i="1"/>
  <c r="I347" i="1"/>
  <c r="I240" i="1"/>
  <c r="I241" i="1"/>
  <c r="I451" i="1"/>
  <c r="I348" i="1"/>
  <c r="I495" i="1"/>
  <c r="I242" i="1"/>
  <c r="I452" i="1"/>
  <c r="I349" i="1"/>
  <c r="I243" i="1"/>
  <c r="I244" i="1"/>
  <c r="I453" i="1"/>
  <c r="I350" i="1"/>
  <c r="I496" i="1"/>
  <c r="I245" i="1"/>
  <c r="I454" i="1"/>
  <c r="I351" i="1"/>
  <c r="I246" i="1"/>
  <c r="I247" i="1"/>
  <c r="I455" i="1"/>
  <c r="I456" i="1"/>
  <c r="I352" i="1"/>
  <c r="I497" i="1"/>
  <c r="I248" i="1"/>
  <c r="I353" i="1"/>
  <c r="I249" i="1"/>
  <c r="I250" i="1"/>
  <c r="I457" i="1"/>
  <c r="I354" i="1"/>
  <c r="I498" i="1"/>
  <c r="I251" i="1"/>
  <c r="I458" i="1"/>
  <c r="I355" i="1"/>
  <c r="I252" i="1"/>
  <c r="I253" i="1"/>
  <c r="I459" i="1"/>
  <c r="I356" i="1"/>
  <c r="I499" i="1"/>
  <c r="I254" i="1"/>
  <c r="I460" i="1"/>
  <c r="I357" i="1"/>
  <c r="I255" i="1"/>
  <c r="I256" i="1"/>
  <c r="I461" i="1"/>
  <c r="I462" i="1"/>
  <c r="I358" i="1"/>
  <c r="I500" i="1"/>
  <c r="I257" i="1"/>
  <c r="I359" i="1"/>
  <c r="I258" i="1"/>
  <c r="I259" i="1"/>
  <c r="I463" i="1"/>
  <c r="I360" i="1"/>
  <c r="I501" i="1"/>
  <c r="I260" i="1"/>
  <c r="I464" i="1"/>
  <c r="I361" i="1"/>
  <c r="I261" i="1"/>
  <c r="I262" i="1"/>
  <c r="I465" i="1"/>
  <c r="I466" i="1"/>
  <c r="I362" i="1"/>
  <c r="I502" i="1"/>
  <c r="I263" i="1"/>
  <c r="I363" i="1"/>
  <c r="I264" i="1"/>
  <c r="I265" i="1"/>
  <c r="I467" i="1"/>
  <c r="I503" i="1"/>
  <c r="I468" i="1"/>
  <c r="I504" i="1"/>
  <c r="I469" i="1"/>
  <c r="I505" i="1"/>
  <c r="I470" i="1"/>
  <c r="G364" i="1"/>
  <c r="G365" i="1"/>
  <c r="G168" i="1"/>
  <c r="G266" i="1"/>
  <c r="G267" i="1"/>
  <c r="G70" i="1"/>
  <c r="G71" i="1"/>
  <c r="G2" i="1"/>
  <c r="G3" i="1"/>
  <c r="G366" i="1"/>
  <c r="G4" i="1"/>
  <c r="G169" i="1"/>
  <c r="G268" i="1"/>
  <c r="G269" i="1"/>
  <c r="G72" i="1"/>
  <c r="G5" i="1"/>
  <c r="G170" i="1"/>
  <c r="G73" i="1"/>
  <c r="G74" i="1"/>
  <c r="G270" i="1"/>
  <c r="G367" i="1"/>
  <c r="G6" i="1"/>
  <c r="G171" i="1"/>
  <c r="G75" i="1"/>
  <c r="G76" i="1"/>
  <c r="G368" i="1"/>
  <c r="G471" i="1"/>
  <c r="G369" i="1"/>
  <c r="G370" i="1"/>
  <c r="G172" i="1"/>
  <c r="G271" i="1"/>
  <c r="G272" i="1"/>
  <c r="G77" i="1"/>
  <c r="G78" i="1"/>
  <c r="G7" i="1"/>
  <c r="G8" i="1"/>
  <c r="G371" i="1"/>
  <c r="G9" i="1"/>
  <c r="G173" i="1"/>
  <c r="G273" i="1"/>
  <c r="G274" i="1"/>
  <c r="G79" i="1"/>
  <c r="G10" i="1"/>
  <c r="G174" i="1"/>
  <c r="G80" i="1"/>
  <c r="G81" i="1"/>
  <c r="G275" i="1"/>
  <c r="G372" i="1"/>
  <c r="G11" i="1"/>
  <c r="G175" i="1"/>
  <c r="G82" i="1"/>
  <c r="G83" i="1"/>
  <c r="G373" i="1"/>
  <c r="G176" i="1"/>
  <c r="G276" i="1"/>
  <c r="G277" i="1"/>
  <c r="G84" i="1"/>
  <c r="G85" i="1"/>
  <c r="G12" i="1"/>
  <c r="G13" i="1"/>
  <c r="G374" i="1"/>
  <c r="G14" i="1"/>
  <c r="G177" i="1"/>
  <c r="G278" i="1"/>
  <c r="G279" i="1"/>
  <c r="G86" i="1"/>
  <c r="G15" i="1"/>
  <c r="G178" i="1"/>
  <c r="G472" i="1"/>
  <c r="G87" i="1"/>
  <c r="G375" i="1"/>
  <c r="G88" i="1"/>
  <c r="G280" i="1"/>
  <c r="G376" i="1"/>
  <c r="G377" i="1"/>
  <c r="G16" i="1"/>
  <c r="G179" i="1"/>
  <c r="G89" i="1"/>
  <c r="G90" i="1"/>
  <c r="G378" i="1"/>
  <c r="G473" i="1"/>
  <c r="G379" i="1"/>
  <c r="G380" i="1"/>
  <c r="G180" i="1"/>
  <c r="G281" i="1"/>
  <c r="G282" i="1"/>
  <c r="G91" i="1"/>
  <c r="G92" i="1"/>
  <c r="G17" i="1"/>
  <c r="G18" i="1"/>
  <c r="G381" i="1"/>
  <c r="G19" i="1"/>
  <c r="G181" i="1"/>
  <c r="G283" i="1"/>
  <c r="G284" i="1"/>
  <c r="G93" i="1"/>
  <c r="G20" i="1"/>
  <c r="G182" i="1"/>
  <c r="G94" i="1"/>
  <c r="G95" i="1"/>
  <c r="G285" i="1"/>
  <c r="G382" i="1"/>
  <c r="G21" i="1"/>
  <c r="G183" i="1"/>
  <c r="G96" i="1"/>
  <c r="G97" i="1"/>
  <c r="G383" i="1"/>
  <c r="G474" i="1"/>
  <c r="G384" i="1"/>
  <c r="G385" i="1"/>
  <c r="G184" i="1"/>
  <c r="G286" i="1"/>
  <c r="G287" i="1"/>
  <c r="G98" i="1"/>
  <c r="G99" i="1"/>
  <c r="G22" i="1"/>
  <c r="G23" i="1"/>
  <c r="G386" i="1"/>
  <c r="G24" i="1"/>
  <c r="G185" i="1"/>
  <c r="G288" i="1"/>
  <c r="G289" i="1"/>
  <c r="G100" i="1"/>
  <c r="G25" i="1"/>
  <c r="G186" i="1"/>
  <c r="G101" i="1"/>
  <c r="G102" i="1"/>
  <c r="G290" i="1"/>
  <c r="G387" i="1"/>
  <c r="G26" i="1"/>
  <c r="G187" i="1"/>
  <c r="G103" i="1"/>
  <c r="G104" i="1"/>
  <c r="G388" i="1"/>
  <c r="G188" i="1"/>
  <c r="G291" i="1"/>
  <c r="G292" i="1"/>
  <c r="G105" i="1"/>
  <c r="G106" i="1"/>
  <c r="G27" i="1"/>
  <c r="G28" i="1"/>
  <c r="G389" i="1"/>
  <c r="G29" i="1"/>
  <c r="G189" i="1"/>
  <c r="G293" i="1"/>
  <c r="G294" i="1"/>
  <c r="G107" i="1"/>
  <c r="G30" i="1"/>
  <c r="G190" i="1"/>
  <c r="G475" i="1"/>
  <c r="G108" i="1"/>
  <c r="G390" i="1"/>
  <c r="G109" i="1"/>
  <c r="G295" i="1"/>
  <c r="G391" i="1"/>
  <c r="G392" i="1"/>
  <c r="G31" i="1"/>
  <c r="G191" i="1"/>
  <c r="G110" i="1"/>
  <c r="G111" i="1"/>
  <c r="G393" i="1"/>
  <c r="G192" i="1"/>
  <c r="G296" i="1"/>
  <c r="G297" i="1"/>
  <c r="G112" i="1"/>
  <c r="G113" i="1"/>
  <c r="G32" i="1"/>
  <c r="G33" i="1"/>
  <c r="G394" i="1"/>
  <c r="G34" i="1"/>
  <c r="G193" i="1"/>
  <c r="G298" i="1"/>
  <c r="G299" i="1"/>
  <c r="G114" i="1"/>
  <c r="G35" i="1"/>
  <c r="G194" i="1"/>
  <c r="G476" i="1"/>
  <c r="G115" i="1"/>
  <c r="G395" i="1"/>
  <c r="G116" i="1"/>
  <c r="G300" i="1"/>
  <c r="G396" i="1"/>
  <c r="G397" i="1"/>
  <c r="G36" i="1"/>
  <c r="G195" i="1"/>
  <c r="G117" i="1"/>
  <c r="G118" i="1"/>
  <c r="G398" i="1"/>
  <c r="G196" i="1"/>
  <c r="G301" i="1"/>
  <c r="G302" i="1"/>
  <c r="G119" i="1"/>
  <c r="G120" i="1"/>
  <c r="G37" i="1"/>
  <c r="G38" i="1"/>
  <c r="G399" i="1"/>
  <c r="G39" i="1"/>
  <c r="G197" i="1"/>
  <c r="G303" i="1"/>
  <c r="G304" i="1"/>
  <c r="G121" i="1"/>
  <c r="G40" i="1"/>
  <c r="G198" i="1"/>
  <c r="G477" i="1"/>
  <c r="G122" i="1"/>
  <c r="G400" i="1"/>
  <c r="G123" i="1"/>
  <c r="G305" i="1"/>
  <c r="G401" i="1"/>
  <c r="G402" i="1"/>
  <c r="G41" i="1"/>
  <c r="G199" i="1"/>
  <c r="G124" i="1"/>
  <c r="G125" i="1"/>
  <c r="G403" i="1"/>
  <c r="G478" i="1"/>
  <c r="G404" i="1"/>
  <c r="G405" i="1"/>
  <c r="G200" i="1"/>
  <c r="G306" i="1"/>
  <c r="G307" i="1"/>
  <c r="G126" i="1"/>
  <c r="G127" i="1"/>
  <c r="G42" i="1"/>
  <c r="G43" i="1"/>
  <c r="G406" i="1"/>
  <c r="G44" i="1"/>
  <c r="G201" i="1"/>
  <c r="G308" i="1"/>
  <c r="G309" i="1"/>
  <c r="G128" i="1"/>
  <c r="G45" i="1"/>
  <c r="G202" i="1"/>
  <c r="G129" i="1"/>
  <c r="G130" i="1"/>
  <c r="G310" i="1"/>
  <c r="G407" i="1"/>
  <c r="G46" i="1"/>
  <c r="G203" i="1"/>
  <c r="G131" i="1"/>
  <c r="G132" i="1"/>
  <c r="G408" i="1"/>
  <c r="G204" i="1"/>
  <c r="G311" i="1"/>
  <c r="G312" i="1"/>
  <c r="G133" i="1"/>
  <c r="G134" i="1"/>
  <c r="G47" i="1"/>
  <c r="G48" i="1"/>
  <c r="G409" i="1"/>
  <c r="G49" i="1"/>
  <c r="G205" i="1"/>
  <c r="G313" i="1"/>
  <c r="G314" i="1"/>
  <c r="G135" i="1"/>
  <c r="G50" i="1"/>
  <c r="G206" i="1"/>
  <c r="G479" i="1"/>
  <c r="G136" i="1"/>
  <c r="G410" i="1"/>
  <c r="G137" i="1"/>
  <c r="G315" i="1"/>
  <c r="G411" i="1"/>
  <c r="G412" i="1"/>
  <c r="G51" i="1"/>
  <c r="G207" i="1"/>
  <c r="G138" i="1"/>
  <c r="G139" i="1"/>
  <c r="G413" i="1"/>
  <c r="G208" i="1"/>
  <c r="G316" i="1"/>
  <c r="G317" i="1"/>
  <c r="G140" i="1"/>
  <c r="G141" i="1"/>
  <c r="G52" i="1"/>
  <c r="G414" i="1"/>
  <c r="G53" i="1"/>
  <c r="G209" i="1"/>
  <c r="G318" i="1"/>
  <c r="G319" i="1"/>
  <c r="G142" i="1"/>
  <c r="G210" i="1"/>
  <c r="G480" i="1"/>
  <c r="G143" i="1"/>
  <c r="G415" i="1"/>
  <c r="G144" i="1"/>
  <c r="G320" i="1"/>
  <c r="G416" i="1"/>
  <c r="G417" i="1"/>
  <c r="G54" i="1"/>
  <c r="G211" i="1"/>
  <c r="G145" i="1"/>
  <c r="G146" i="1"/>
  <c r="G418" i="1"/>
  <c r="G55" i="1"/>
  <c r="G56" i="1"/>
  <c r="G481" i="1"/>
  <c r="G419" i="1"/>
  <c r="G420" i="1"/>
  <c r="G212" i="1"/>
  <c r="G321" i="1"/>
  <c r="G322" i="1"/>
  <c r="G147" i="1"/>
  <c r="G148" i="1"/>
  <c r="G57" i="1"/>
  <c r="G58" i="1"/>
  <c r="G421" i="1"/>
  <c r="G59" i="1"/>
  <c r="G213" i="1"/>
  <c r="G323" i="1"/>
  <c r="G324" i="1"/>
  <c r="G149" i="1"/>
  <c r="G60" i="1"/>
  <c r="G214" i="1"/>
  <c r="G150" i="1"/>
  <c r="G151" i="1"/>
  <c r="G325" i="1"/>
  <c r="G422" i="1"/>
  <c r="G61" i="1"/>
  <c r="G215" i="1"/>
  <c r="G152" i="1"/>
  <c r="G153" i="1"/>
  <c r="G423" i="1"/>
  <c r="G216" i="1"/>
  <c r="G326" i="1"/>
  <c r="G327" i="1"/>
  <c r="G154" i="1"/>
  <c r="G155" i="1"/>
  <c r="G62" i="1"/>
  <c r="G424" i="1"/>
  <c r="G63" i="1"/>
  <c r="G217" i="1"/>
  <c r="G328" i="1"/>
  <c r="G329" i="1"/>
  <c r="G156" i="1"/>
  <c r="G218" i="1"/>
  <c r="G482" i="1"/>
  <c r="G157" i="1"/>
  <c r="G425" i="1"/>
  <c r="G158" i="1"/>
  <c r="G330" i="1"/>
  <c r="G426" i="1"/>
  <c r="G427" i="1"/>
  <c r="G64" i="1"/>
  <c r="G219" i="1"/>
  <c r="G159" i="1"/>
  <c r="G160" i="1"/>
  <c r="G428" i="1"/>
  <c r="G65" i="1"/>
  <c r="G66" i="1"/>
  <c r="G483" i="1"/>
  <c r="G429" i="1"/>
  <c r="G430" i="1"/>
  <c r="G220" i="1"/>
  <c r="G331" i="1"/>
  <c r="G332" i="1"/>
  <c r="G161" i="1"/>
  <c r="G162" i="1"/>
  <c r="G67" i="1"/>
  <c r="G431" i="1"/>
  <c r="G68" i="1"/>
  <c r="G221" i="1"/>
  <c r="G333" i="1"/>
  <c r="G334" i="1"/>
  <c r="G163" i="1"/>
  <c r="G222" i="1"/>
  <c r="G164" i="1"/>
  <c r="G165" i="1"/>
  <c r="G335" i="1"/>
  <c r="G432" i="1"/>
  <c r="G69" i="1"/>
  <c r="G223" i="1"/>
  <c r="G166" i="1"/>
  <c r="G167" i="1"/>
  <c r="G433" i="1"/>
  <c r="G434" i="1"/>
  <c r="G484" i="1"/>
  <c r="G485" i="1"/>
  <c r="G435" i="1"/>
  <c r="G436" i="1"/>
  <c r="G437" i="1"/>
  <c r="G438" i="1"/>
  <c r="G336" i="1"/>
  <c r="G486" i="1"/>
  <c r="G224" i="1"/>
  <c r="G439" i="1"/>
  <c r="G440" i="1"/>
  <c r="G337" i="1"/>
  <c r="G225" i="1"/>
  <c r="G226" i="1"/>
  <c r="G487" i="1"/>
  <c r="G488" i="1"/>
  <c r="G441" i="1"/>
  <c r="G442" i="1"/>
  <c r="G338" i="1"/>
  <c r="G489" i="1"/>
  <c r="G490" i="1"/>
  <c r="G227" i="1"/>
  <c r="G339" i="1"/>
  <c r="G228" i="1"/>
  <c r="G229" i="1"/>
  <c r="G443" i="1"/>
  <c r="G340" i="1"/>
  <c r="G491" i="1"/>
  <c r="G230" i="1"/>
  <c r="G444" i="1"/>
  <c r="G341" i="1"/>
  <c r="G231" i="1"/>
  <c r="G232" i="1"/>
  <c r="G445" i="1"/>
  <c r="G446" i="1"/>
  <c r="G342" i="1"/>
  <c r="G492" i="1"/>
  <c r="G233" i="1"/>
  <c r="G343" i="1"/>
  <c r="G234" i="1"/>
  <c r="G235" i="1"/>
  <c r="G447" i="1"/>
  <c r="G448" i="1"/>
  <c r="G344" i="1"/>
  <c r="G493" i="1"/>
  <c r="G236" i="1"/>
  <c r="G345" i="1"/>
  <c r="G237" i="1"/>
  <c r="G238" i="1"/>
  <c r="G449" i="1"/>
  <c r="G346" i="1"/>
  <c r="G494" i="1"/>
  <c r="G239" i="1"/>
  <c r="G450" i="1"/>
  <c r="G347" i="1"/>
  <c r="G240" i="1"/>
  <c r="G241" i="1"/>
  <c r="G451" i="1"/>
  <c r="G348" i="1"/>
  <c r="G495" i="1"/>
  <c r="G242" i="1"/>
  <c r="G452" i="1"/>
  <c r="G349" i="1"/>
  <c r="G243" i="1"/>
  <c r="G244" i="1"/>
  <c r="G453" i="1"/>
  <c r="G350" i="1"/>
  <c r="G496" i="1"/>
  <c r="G245" i="1"/>
  <c r="G454" i="1"/>
  <c r="G351" i="1"/>
  <c r="G246" i="1"/>
  <c r="G247" i="1"/>
  <c r="G455" i="1"/>
  <c r="G456" i="1"/>
  <c r="G352" i="1"/>
  <c r="G497" i="1"/>
  <c r="G248" i="1"/>
  <c r="G353" i="1"/>
  <c r="G249" i="1"/>
  <c r="G250" i="1"/>
  <c r="G457" i="1"/>
  <c r="G354" i="1"/>
  <c r="G498" i="1"/>
  <c r="G251" i="1"/>
  <c r="G458" i="1"/>
  <c r="G355" i="1"/>
  <c r="G252" i="1"/>
  <c r="G253" i="1"/>
  <c r="G459" i="1"/>
  <c r="G356" i="1"/>
  <c r="G499" i="1"/>
  <c r="G254" i="1"/>
  <c r="G460" i="1"/>
  <c r="G357" i="1"/>
  <c r="G255" i="1"/>
  <c r="G256" i="1"/>
  <c r="G461" i="1"/>
  <c r="G462" i="1"/>
  <c r="G358" i="1"/>
  <c r="G500" i="1"/>
  <c r="G257" i="1"/>
  <c r="G359" i="1"/>
  <c r="G258" i="1"/>
  <c r="G259" i="1"/>
  <c r="G463" i="1"/>
  <c r="G360" i="1"/>
  <c r="G501" i="1"/>
  <c r="G260" i="1"/>
  <c r="G464" i="1"/>
  <c r="G361" i="1"/>
  <c r="G261" i="1"/>
  <c r="G262" i="1"/>
  <c r="G465" i="1"/>
  <c r="G466" i="1"/>
  <c r="G362" i="1"/>
  <c r="G502" i="1"/>
  <c r="G263" i="1"/>
  <c r="G363" i="1"/>
  <c r="G264" i="1"/>
  <c r="G265" i="1"/>
  <c r="G467" i="1"/>
  <c r="G503" i="1"/>
  <c r="G468" i="1"/>
  <c r="G504" i="1"/>
  <c r="G469" i="1"/>
  <c r="G505" i="1"/>
  <c r="F364" i="1"/>
  <c r="F365" i="1"/>
  <c r="F168" i="1"/>
  <c r="F266" i="1"/>
  <c r="F267" i="1"/>
  <c r="F70" i="1"/>
  <c r="F71" i="1"/>
  <c r="F2" i="1"/>
  <c r="F3" i="1"/>
  <c r="F366" i="1"/>
  <c r="F4" i="1"/>
  <c r="F169" i="1"/>
  <c r="F268" i="1"/>
  <c r="F269" i="1"/>
  <c r="F72" i="1"/>
  <c r="F5" i="1"/>
  <c r="F170" i="1"/>
  <c r="F73" i="1"/>
  <c r="F74" i="1"/>
  <c r="F270" i="1"/>
  <c r="F367" i="1"/>
  <c r="F6" i="1"/>
  <c r="F171" i="1"/>
  <c r="F75" i="1"/>
  <c r="F76" i="1"/>
  <c r="F368" i="1"/>
  <c r="F471" i="1"/>
  <c r="F369" i="1"/>
  <c r="F370" i="1"/>
  <c r="F172" i="1"/>
  <c r="F271" i="1"/>
  <c r="F272" i="1"/>
  <c r="F77" i="1"/>
  <c r="F78" i="1"/>
  <c r="F7" i="1"/>
  <c r="F8" i="1"/>
  <c r="F371" i="1"/>
  <c r="F9" i="1"/>
  <c r="F173" i="1"/>
  <c r="F273" i="1"/>
  <c r="F274" i="1"/>
  <c r="F79" i="1"/>
  <c r="F10" i="1"/>
  <c r="F174" i="1"/>
  <c r="F80" i="1"/>
  <c r="F81" i="1"/>
  <c r="F275" i="1"/>
  <c r="F372" i="1"/>
  <c r="F11" i="1"/>
  <c r="F175" i="1"/>
  <c r="F82" i="1"/>
  <c r="F83" i="1"/>
  <c r="F373" i="1"/>
  <c r="F176" i="1"/>
  <c r="F276" i="1"/>
  <c r="F277" i="1"/>
  <c r="F84" i="1"/>
  <c r="F85" i="1"/>
  <c r="F12" i="1"/>
  <c r="F13" i="1"/>
  <c r="F374" i="1"/>
  <c r="F14" i="1"/>
  <c r="F177" i="1"/>
  <c r="F278" i="1"/>
  <c r="F279" i="1"/>
  <c r="F86" i="1"/>
  <c r="F15" i="1"/>
  <c r="F178" i="1"/>
  <c r="F472" i="1"/>
  <c r="F87" i="1"/>
  <c r="F375" i="1"/>
  <c r="F88" i="1"/>
  <c r="F280" i="1"/>
  <c r="F376" i="1"/>
  <c r="F377" i="1"/>
  <c r="F16" i="1"/>
  <c r="F179" i="1"/>
  <c r="F89" i="1"/>
  <c r="F90" i="1"/>
  <c r="F378" i="1"/>
  <c r="F473" i="1"/>
  <c r="F379" i="1"/>
  <c r="F380" i="1"/>
  <c r="F180" i="1"/>
  <c r="F281" i="1"/>
  <c r="F282" i="1"/>
  <c r="F91" i="1"/>
  <c r="F92" i="1"/>
  <c r="F17" i="1"/>
  <c r="F18" i="1"/>
  <c r="F381" i="1"/>
  <c r="F19" i="1"/>
  <c r="F181" i="1"/>
  <c r="F283" i="1"/>
  <c r="F284" i="1"/>
  <c r="F93" i="1"/>
  <c r="F20" i="1"/>
  <c r="F182" i="1"/>
  <c r="F94" i="1"/>
  <c r="F95" i="1"/>
  <c r="F285" i="1"/>
  <c r="F382" i="1"/>
  <c r="F21" i="1"/>
  <c r="F183" i="1"/>
  <c r="F96" i="1"/>
  <c r="F97" i="1"/>
  <c r="F383" i="1"/>
  <c r="F474" i="1"/>
  <c r="F384" i="1"/>
  <c r="F385" i="1"/>
  <c r="F184" i="1"/>
  <c r="F286" i="1"/>
  <c r="F287" i="1"/>
  <c r="F98" i="1"/>
  <c r="F99" i="1"/>
  <c r="F22" i="1"/>
  <c r="F23" i="1"/>
  <c r="F386" i="1"/>
  <c r="F24" i="1"/>
  <c r="F185" i="1"/>
  <c r="F288" i="1"/>
  <c r="F289" i="1"/>
  <c r="F100" i="1"/>
  <c r="F25" i="1"/>
  <c r="F186" i="1"/>
  <c r="F101" i="1"/>
  <c r="F102" i="1"/>
  <c r="F290" i="1"/>
  <c r="F387" i="1"/>
  <c r="F26" i="1"/>
  <c r="F187" i="1"/>
  <c r="F103" i="1"/>
  <c r="F104" i="1"/>
  <c r="F388" i="1"/>
  <c r="F188" i="1"/>
  <c r="F291" i="1"/>
  <c r="F292" i="1"/>
  <c r="F105" i="1"/>
  <c r="F106" i="1"/>
  <c r="F27" i="1"/>
  <c r="F28" i="1"/>
  <c r="F389" i="1"/>
  <c r="F29" i="1"/>
  <c r="F189" i="1"/>
  <c r="F293" i="1"/>
  <c r="F294" i="1"/>
  <c r="F107" i="1"/>
  <c r="F30" i="1"/>
  <c r="F190" i="1"/>
  <c r="F475" i="1"/>
  <c r="F108" i="1"/>
  <c r="F390" i="1"/>
  <c r="F109" i="1"/>
  <c r="F295" i="1"/>
  <c r="F391" i="1"/>
  <c r="F392" i="1"/>
  <c r="F31" i="1"/>
  <c r="F191" i="1"/>
  <c r="F110" i="1"/>
  <c r="F111" i="1"/>
  <c r="F393" i="1"/>
  <c r="F192" i="1"/>
  <c r="F296" i="1"/>
  <c r="F297" i="1"/>
  <c r="F112" i="1"/>
  <c r="F113" i="1"/>
  <c r="F32" i="1"/>
  <c r="F33" i="1"/>
  <c r="F394" i="1"/>
  <c r="F34" i="1"/>
  <c r="F193" i="1"/>
  <c r="F298" i="1"/>
  <c r="F299" i="1"/>
  <c r="F114" i="1"/>
  <c r="F35" i="1"/>
  <c r="F194" i="1"/>
  <c r="F476" i="1"/>
  <c r="F115" i="1"/>
  <c r="F395" i="1"/>
  <c r="F116" i="1"/>
  <c r="F300" i="1"/>
  <c r="F396" i="1"/>
  <c r="F397" i="1"/>
  <c r="F36" i="1"/>
  <c r="F195" i="1"/>
  <c r="F117" i="1"/>
  <c r="F118" i="1"/>
  <c r="F398" i="1"/>
  <c r="F196" i="1"/>
  <c r="F301" i="1"/>
  <c r="F302" i="1"/>
  <c r="F119" i="1"/>
  <c r="F120" i="1"/>
  <c r="F37" i="1"/>
  <c r="F38" i="1"/>
  <c r="F399" i="1"/>
  <c r="F39" i="1"/>
  <c r="F197" i="1"/>
  <c r="F303" i="1"/>
  <c r="F304" i="1"/>
  <c r="F121" i="1"/>
  <c r="F40" i="1"/>
  <c r="F198" i="1"/>
  <c r="F477" i="1"/>
  <c r="F122" i="1"/>
  <c r="F400" i="1"/>
  <c r="F123" i="1"/>
  <c r="F305" i="1"/>
  <c r="F401" i="1"/>
  <c r="F402" i="1"/>
  <c r="F41" i="1"/>
  <c r="F199" i="1"/>
  <c r="F124" i="1"/>
  <c r="F125" i="1"/>
  <c r="F403" i="1"/>
  <c r="F478" i="1"/>
  <c r="F404" i="1"/>
  <c r="F405" i="1"/>
  <c r="F200" i="1"/>
  <c r="F306" i="1"/>
  <c r="F307" i="1"/>
  <c r="F126" i="1"/>
  <c r="F127" i="1"/>
  <c r="F42" i="1"/>
  <c r="F43" i="1"/>
  <c r="F406" i="1"/>
  <c r="F44" i="1"/>
  <c r="F201" i="1"/>
  <c r="F308" i="1"/>
  <c r="F309" i="1"/>
  <c r="F128" i="1"/>
  <c r="F45" i="1"/>
  <c r="F202" i="1"/>
  <c r="F129" i="1"/>
  <c r="F130" i="1"/>
  <c r="F310" i="1"/>
  <c r="F407" i="1"/>
  <c r="F46" i="1"/>
  <c r="F203" i="1"/>
  <c r="F131" i="1"/>
  <c r="F132" i="1"/>
  <c r="F408" i="1"/>
  <c r="F204" i="1"/>
  <c r="F311" i="1"/>
  <c r="F312" i="1"/>
  <c r="F133" i="1"/>
  <c r="F134" i="1"/>
  <c r="F47" i="1"/>
  <c r="F48" i="1"/>
  <c r="F409" i="1"/>
  <c r="F49" i="1"/>
  <c r="F205" i="1"/>
  <c r="F313" i="1"/>
  <c r="F314" i="1"/>
  <c r="F135" i="1"/>
  <c r="F50" i="1"/>
  <c r="F206" i="1"/>
  <c r="F479" i="1"/>
  <c r="F136" i="1"/>
  <c r="F410" i="1"/>
  <c r="F137" i="1"/>
  <c r="F315" i="1"/>
  <c r="F411" i="1"/>
  <c r="F412" i="1"/>
  <c r="F51" i="1"/>
  <c r="F207" i="1"/>
  <c r="F138" i="1"/>
  <c r="F139" i="1"/>
  <c r="F413" i="1"/>
  <c r="F208" i="1"/>
  <c r="F316" i="1"/>
  <c r="F317" i="1"/>
  <c r="F140" i="1"/>
  <c r="F141" i="1"/>
  <c r="F52" i="1"/>
  <c r="F414" i="1"/>
  <c r="F53" i="1"/>
  <c r="F209" i="1"/>
  <c r="F318" i="1"/>
  <c r="F319" i="1"/>
  <c r="F142" i="1"/>
  <c r="F210" i="1"/>
  <c r="F480" i="1"/>
  <c r="F143" i="1"/>
  <c r="F415" i="1"/>
  <c r="F144" i="1"/>
  <c r="F320" i="1"/>
  <c r="F416" i="1"/>
  <c r="F417" i="1"/>
  <c r="F54" i="1"/>
  <c r="F211" i="1"/>
  <c r="F145" i="1"/>
  <c r="F146" i="1"/>
  <c r="F418" i="1"/>
  <c r="F55" i="1"/>
  <c r="F56" i="1"/>
  <c r="F481" i="1"/>
  <c r="F419" i="1"/>
  <c r="F420" i="1"/>
  <c r="F212" i="1"/>
  <c r="F321" i="1"/>
  <c r="F322" i="1"/>
  <c r="F147" i="1"/>
  <c r="F148" i="1"/>
  <c r="F57" i="1"/>
  <c r="F58" i="1"/>
  <c r="F421" i="1"/>
  <c r="F59" i="1"/>
  <c r="F213" i="1"/>
  <c r="F323" i="1"/>
  <c r="F324" i="1"/>
  <c r="F149" i="1"/>
  <c r="F60" i="1"/>
  <c r="F214" i="1"/>
  <c r="F150" i="1"/>
  <c r="F151" i="1"/>
  <c r="F325" i="1"/>
  <c r="F422" i="1"/>
  <c r="F61" i="1"/>
  <c r="F215" i="1"/>
  <c r="F152" i="1"/>
  <c r="F153" i="1"/>
  <c r="F423" i="1"/>
  <c r="F216" i="1"/>
  <c r="F326" i="1"/>
  <c r="F327" i="1"/>
  <c r="F154" i="1"/>
  <c r="F155" i="1"/>
  <c r="F62" i="1"/>
  <c r="F424" i="1"/>
  <c r="F63" i="1"/>
  <c r="F217" i="1"/>
  <c r="F328" i="1"/>
  <c r="F329" i="1"/>
  <c r="F156" i="1"/>
  <c r="F218" i="1"/>
  <c r="F482" i="1"/>
  <c r="F157" i="1"/>
  <c r="F425" i="1"/>
  <c r="F158" i="1"/>
  <c r="F330" i="1"/>
  <c r="F426" i="1"/>
  <c r="F427" i="1"/>
  <c r="F64" i="1"/>
  <c r="F219" i="1"/>
  <c r="F159" i="1"/>
  <c r="F160" i="1"/>
  <c r="F428" i="1"/>
  <c r="F65" i="1"/>
  <c r="F66" i="1"/>
  <c r="F483" i="1"/>
  <c r="F429" i="1"/>
  <c r="F430" i="1"/>
  <c r="F220" i="1"/>
  <c r="F331" i="1"/>
  <c r="F332" i="1"/>
  <c r="F161" i="1"/>
  <c r="F162" i="1"/>
  <c r="F67" i="1"/>
  <c r="F431" i="1"/>
  <c r="F68" i="1"/>
  <c r="F221" i="1"/>
  <c r="F333" i="1"/>
  <c r="F334" i="1"/>
  <c r="F163" i="1"/>
  <c r="F222" i="1"/>
  <c r="F164" i="1"/>
  <c r="F165" i="1"/>
  <c r="F335" i="1"/>
  <c r="F432" i="1"/>
  <c r="F69" i="1"/>
  <c r="F223" i="1"/>
  <c r="F166" i="1"/>
  <c r="F167" i="1"/>
  <c r="F433" i="1"/>
  <c r="F434" i="1"/>
  <c r="F484" i="1"/>
  <c r="F485" i="1"/>
  <c r="F435" i="1"/>
  <c r="F436" i="1"/>
  <c r="F437" i="1"/>
  <c r="F438" i="1"/>
  <c r="F336" i="1"/>
  <c r="F486" i="1"/>
  <c r="F224" i="1"/>
  <c r="F439" i="1"/>
  <c r="F440" i="1"/>
  <c r="F337" i="1"/>
  <c r="F225" i="1"/>
  <c r="F226" i="1"/>
  <c r="F487" i="1"/>
  <c r="F488" i="1"/>
  <c r="F441" i="1"/>
  <c r="F442" i="1"/>
  <c r="F338" i="1"/>
  <c r="F489" i="1"/>
  <c r="F490" i="1"/>
  <c r="F227" i="1"/>
  <c r="F339" i="1"/>
  <c r="F228" i="1"/>
  <c r="F229" i="1"/>
  <c r="F443" i="1"/>
  <c r="F340" i="1"/>
  <c r="F491" i="1"/>
  <c r="F230" i="1"/>
  <c r="F444" i="1"/>
  <c r="F341" i="1"/>
  <c r="F231" i="1"/>
  <c r="F232" i="1"/>
  <c r="F445" i="1"/>
  <c r="F446" i="1"/>
  <c r="F342" i="1"/>
  <c r="F492" i="1"/>
  <c r="F233" i="1"/>
  <c r="F343" i="1"/>
  <c r="F234" i="1"/>
  <c r="F235" i="1"/>
  <c r="F447" i="1"/>
  <c r="F448" i="1"/>
  <c r="F344" i="1"/>
  <c r="F493" i="1"/>
  <c r="F236" i="1"/>
  <c r="F345" i="1"/>
  <c r="F237" i="1"/>
  <c r="F238" i="1"/>
  <c r="F449" i="1"/>
  <c r="F346" i="1"/>
  <c r="F494" i="1"/>
  <c r="F239" i="1"/>
  <c r="F450" i="1"/>
  <c r="F347" i="1"/>
  <c r="F240" i="1"/>
  <c r="F241" i="1"/>
  <c r="F451" i="1"/>
  <c r="F348" i="1"/>
  <c r="F495" i="1"/>
  <c r="F242" i="1"/>
  <c r="F452" i="1"/>
  <c r="F349" i="1"/>
  <c r="F243" i="1"/>
  <c r="F244" i="1"/>
  <c r="F453" i="1"/>
  <c r="F350" i="1"/>
  <c r="F496" i="1"/>
  <c r="F245" i="1"/>
  <c r="F454" i="1"/>
  <c r="F351" i="1"/>
  <c r="F246" i="1"/>
  <c r="F247" i="1"/>
  <c r="F455" i="1"/>
  <c r="F456" i="1"/>
  <c r="F352" i="1"/>
  <c r="F497" i="1"/>
  <c r="F248" i="1"/>
  <c r="F353" i="1"/>
  <c r="F249" i="1"/>
  <c r="F250" i="1"/>
  <c r="F457" i="1"/>
  <c r="F354" i="1"/>
  <c r="F498" i="1"/>
  <c r="F251" i="1"/>
  <c r="F458" i="1"/>
  <c r="F355" i="1"/>
  <c r="F252" i="1"/>
  <c r="F253" i="1"/>
  <c r="F459" i="1"/>
  <c r="F356" i="1"/>
  <c r="F499" i="1"/>
  <c r="F254" i="1"/>
  <c r="F460" i="1"/>
  <c r="F357" i="1"/>
  <c r="F255" i="1"/>
  <c r="F256" i="1"/>
  <c r="F461" i="1"/>
  <c r="F462" i="1"/>
  <c r="F358" i="1"/>
  <c r="F500" i="1"/>
  <c r="F257" i="1"/>
  <c r="F359" i="1"/>
  <c r="F258" i="1"/>
  <c r="F259" i="1"/>
  <c r="F463" i="1"/>
  <c r="F360" i="1"/>
  <c r="F501" i="1"/>
  <c r="F260" i="1"/>
  <c r="F464" i="1"/>
  <c r="F361" i="1"/>
  <c r="F261" i="1"/>
  <c r="F262" i="1"/>
  <c r="F465" i="1"/>
  <c r="F466" i="1"/>
  <c r="F362" i="1"/>
  <c r="F502" i="1"/>
  <c r="F263" i="1"/>
  <c r="F363" i="1"/>
  <c r="F264" i="1"/>
  <c r="F265" i="1"/>
  <c r="F467" i="1"/>
  <c r="F503" i="1"/>
  <c r="F468" i="1"/>
  <c r="F504" i="1"/>
  <c r="F469" i="1"/>
  <c r="F505" i="1"/>
  <c r="G470" i="1"/>
  <c r="F470" i="1"/>
  <c r="E267" i="1"/>
  <c r="H267" i="1" s="1"/>
  <c r="E70" i="1"/>
  <c r="H70" i="1" s="1"/>
  <c r="E71" i="1"/>
  <c r="H71" i="1" s="1"/>
  <c r="E2" i="1"/>
  <c r="E3" i="1"/>
  <c r="E366" i="1"/>
  <c r="H366" i="1" s="1"/>
  <c r="E4" i="1"/>
  <c r="H4" i="1" s="1"/>
  <c r="E169" i="1"/>
  <c r="H169" i="1" s="1"/>
  <c r="E268" i="1"/>
  <c r="H268" i="1" s="1"/>
  <c r="E269" i="1"/>
  <c r="H269" i="1" s="1"/>
  <c r="E72" i="1"/>
  <c r="H72" i="1" s="1"/>
  <c r="E5" i="1"/>
  <c r="H5" i="1" s="1"/>
  <c r="E170" i="1"/>
  <c r="H170" i="1" s="1"/>
  <c r="E73" i="1"/>
  <c r="H73" i="1" s="1"/>
  <c r="E74" i="1"/>
  <c r="H74" i="1" s="1"/>
  <c r="E270" i="1"/>
  <c r="H270" i="1" s="1"/>
  <c r="E367" i="1"/>
  <c r="H367" i="1" s="1"/>
  <c r="E6" i="1"/>
  <c r="H6" i="1" s="1"/>
  <c r="E171" i="1"/>
  <c r="H171" i="1" s="1"/>
  <c r="E75" i="1"/>
  <c r="E76" i="1"/>
  <c r="E368" i="1"/>
  <c r="H368" i="1" s="1"/>
  <c r="E471" i="1"/>
  <c r="H471" i="1" s="1"/>
  <c r="E369" i="1"/>
  <c r="H369" i="1" s="1"/>
  <c r="E370" i="1"/>
  <c r="H370" i="1" s="1"/>
  <c r="E172" i="1"/>
  <c r="H172" i="1" s="1"/>
  <c r="E271" i="1"/>
  <c r="H271" i="1" s="1"/>
  <c r="E272" i="1"/>
  <c r="H272" i="1" s="1"/>
  <c r="E77" i="1"/>
  <c r="H77" i="1" s="1"/>
  <c r="E78" i="1"/>
  <c r="H78" i="1" s="1"/>
  <c r="E7" i="1"/>
  <c r="H7" i="1" s="1"/>
  <c r="E8" i="1"/>
  <c r="H8" i="1" s="1"/>
  <c r="E371" i="1"/>
  <c r="H371" i="1" s="1"/>
  <c r="E9" i="1"/>
  <c r="H9" i="1" s="1"/>
  <c r="E173" i="1"/>
  <c r="H173" i="1" s="1"/>
  <c r="E273" i="1"/>
  <c r="E274" i="1"/>
  <c r="E79" i="1"/>
  <c r="H79" i="1" s="1"/>
  <c r="E10" i="1"/>
  <c r="H10" i="1" s="1"/>
  <c r="E174" i="1"/>
  <c r="H174" i="1" s="1"/>
  <c r="E80" i="1"/>
  <c r="H80" i="1" s="1"/>
  <c r="E81" i="1"/>
  <c r="H81" i="1" s="1"/>
  <c r="E275" i="1"/>
  <c r="H275" i="1" s="1"/>
  <c r="E372" i="1"/>
  <c r="H372" i="1" s="1"/>
  <c r="E11" i="1"/>
  <c r="H11" i="1" s="1"/>
  <c r="E175" i="1"/>
  <c r="H175" i="1" s="1"/>
  <c r="E82" i="1"/>
  <c r="H82" i="1" s="1"/>
  <c r="E83" i="1"/>
  <c r="H83" i="1" s="1"/>
  <c r="E373" i="1"/>
  <c r="H373" i="1" s="1"/>
  <c r="E176" i="1"/>
  <c r="H176" i="1" s="1"/>
  <c r="E276" i="1"/>
  <c r="H276" i="1" s="1"/>
  <c r="E277" i="1"/>
  <c r="E84" i="1"/>
  <c r="E85" i="1"/>
  <c r="H85" i="1" s="1"/>
  <c r="E12" i="1"/>
  <c r="H12" i="1" s="1"/>
  <c r="E13" i="1"/>
  <c r="H13" i="1" s="1"/>
  <c r="E374" i="1"/>
  <c r="H374" i="1" s="1"/>
  <c r="E14" i="1"/>
  <c r="H14" i="1" s="1"/>
  <c r="E177" i="1"/>
  <c r="H177" i="1" s="1"/>
  <c r="E278" i="1"/>
  <c r="H278" i="1" s="1"/>
  <c r="E279" i="1"/>
  <c r="H279" i="1" s="1"/>
  <c r="E86" i="1"/>
  <c r="H86" i="1" s="1"/>
  <c r="E15" i="1"/>
  <c r="H15" i="1" s="1"/>
  <c r="E178" i="1"/>
  <c r="H178" i="1" s="1"/>
  <c r="E472" i="1"/>
  <c r="H472" i="1" s="1"/>
  <c r="E87" i="1"/>
  <c r="H87" i="1" s="1"/>
  <c r="E375" i="1"/>
  <c r="H375" i="1" s="1"/>
  <c r="E88" i="1"/>
  <c r="E280" i="1"/>
  <c r="E376" i="1"/>
  <c r="H376" i="1" s="1"/>
  <c r="E377" i="1"/>
  <c r="H377" i="1" s="1"/>
  <c r="E16" i="1"/>
  <c r="H16" i="1" s="1"/>
  <c r="E179" i="1"/>
  <c r="H179" i="1" s="1"/>
  <c r="E89" i="1"/>
  <c r="H89" i="1" s="1"/>
  <c r="E90" i="1"/>
  <c r="H90" i="1" s="1"/>
  <c r="E378" i="1"/>
  <c r="H378" i="1" s="1"/>
  <c r="E473" i="1"/>
  <c r="H473" i="1" s="1"/>
  <c r="E379" i="1"/>
  <c r="H379" i="1" s="1"/>
  <c r="E380" i="1"/>
  <c r="H380" i="1" s="1"/>
  <c r="E180" i="1"/>
  <c r="H180" i="1" s="1"/>
  <c r="E281" i="1"/>
  <c r="H281" i="1" s="1"/>
  <c r="E282" i="1"/>
  <c r="H282" i="1" s="1"/>
  <c r="E91" i="1"/>
  <c r="H91" i="1" s="1"/>
  <c r="E92" i="1"/>
  <c r="E17" i="1"/>
  <c r="E18" i="1"/>
  <c r="H18" i="1" s="1"/>
  <c r="E381" i="1"/>
  <c r="H381" i="1" s="1"/>
  <c r="E19" i="1"/>
  <c r="H19" i="1" s="1"/>
  <c r="E181" i="1"/>
  <c r="H181" i="1" s="1"/>
  <c r="E283" i="1"/>
  <c r="H283" i="1" s="1"/>
  <c r="E284" i="1"/>
  <c r="H284" i="1" s="1"/>
  <c r="E93" i="1"/>
  <c r="H93" i="1" s="1"/>
  <c r="E20" i="1"/>
  <c r="H20" i="1" s="1"/>
  <c r="E182" i="1"/>
  <c r="H182" i="1" s="1"/>
  <c r="E94" i="1"/>
  <c r="H94" i="1" s="1"/>
  <c r="E95" i="1"/>
  <c r="H95" i="1" s="1"/>
  <c r="E285" i="1"/>
  <c r="H285" i="1" s="1"/>
  <c r="E382" i="1"/>
  <c r="H382" i="1" s="1"/>
  <c r="E21" i="1"/>
  <c r="H21" i="1" s="1"/>
  <c r="E183" i="1"/>
  <c r="E96" i="1"/>
  <c r="E97" i="1"/>
  <c r="H97" i="1" s="1"/>
  <c r="E383" i="1"/>
  <c r="H383" i="1" s="1"/>
  <c r="E474" i="1"/>
  <c r="H474" i="1" s="1"/>
  <c r="E384" i="1"/>
  <c r="H384" i="1" s="1"/>
  <c r="E385" i="1"/>
  <c r="H385" i="1" s="1"/>
  <c r="E184" i="1"/>
  <c r="H184" i="1" s="1"/>
  <c r="E286" i="1"/>
  <c r="H286" i="1" s="1"/>
  <c r="E287" i="1"/>
  <c r="H287" i="1" s="1"/>
  <c r="E98" i="1"/>
  <c r="H98" i="1" s="1"/>
  <c r="E99" i="1"/>
  <c r="H99" i="1" s="1"/>
  <c r="E22" i="1"/>
  <c r="H22" i="1" s="1"/>
  <c r="E23" i="1"/>
  <c r="H23" i="1" s="1"/>
  <c r="E386" i="1"/>
  <c r="H386" i="1" s="1"/>
  <c r="E24" i="1"/>
  <c r="H24" i="1" s="1"/>
  <c r="E185" i="1"/>
  <c r="E288" i="1"/>
  <c r="E289" i="1"/>
  <c r="H289" i="1" s="1"/>
  <c r="E100" i="1"/>
  <c r="H100" i="1" s="1"/>
  <c r="E25" i="1"/>
  <c r="H25" i="1" s="1"/>
  <c r="E186" i="1"/>
  <c r="H186" i="1" s="1"/>
  <c r="E101" i="1"/>
  <c r="H101" i="1" s="1"/>
  <c r="E102" i="1"/>
  <c r="H102" i="1" s="1"/>
  <c r="E290" i="1"/>
  <c r="H290" i="1" s="1"/>
  <c r="E387" i="1"/>
  <c r="H387" i="1" s="1"/>
  <c r="E26" i="1"/>
  <c r="H26" i="1" s="1"/>
  <c r="E187" i="1"/>
  <c r="H187" i="1" s="1"/>
  <c r="E103" i="1"/>
  <c r="H103" i="1" s="1"/>
  <c r="E104" i="1"/>
  <c r="H104" i="1" s="1"/>
  <c r="E388" i="1"/>
  <c r="H388" i="1" s="1"/>
  <c r="E188" i="1"/>
  <c r="H188" i="1" s="1"/>
  <c r="E291" i="1"/>
  <c r="E292" i="1"/>
  <c r="E105" i="1"/>
  <c r="H105" i="1" s="1"/>
  <c r="E106" i="1"/>
  <c r="H106" i="1" s="1"/>
  <c r="E27" i="1"/>
  <c r="H27" i="1" s="1"/>
  <c r="E28" i="1"/>
  <c r="H28" i="1" s="1"/>
  <c r="E389" i="1"/>
  <c r="H389" i="1" s="1"/>
  <c r="E29" i="1"/>
  <c r="H29" i="1" s="1"/>
  <c r="E189" i="1"/>
  <c r="H189" i="1" s="1"/>
  <c r="E293" i="1"/>
  <c r="H293" i="1" s="1"/>
  <c r="E294" i="1"/>
  <c r="H294" i="1" s="1"/>
  <c r="E107" i="1"/>
  <c r="H107" i="1" s="1"/>
  <c r="E30" i="1"/>
  <c r="H30" i="1" s="1"/>
  <c r="E190" i="1"/>
  <c r="H190" i="1" s="1"/>
  <c r="E475" i="1"/>
  <c r="H475" i="1" s="1"/>
  <c r="E108" i="1"/>
  <c r="H108" i="1" s="1"/>
  <c r="E390" i="1"/>
  <c r="E109" i="1"/>
  <c r="E295" i="1"/>
  <c r="H295" i="1" s="1"/>
  <c r="E391" i="1"/>
  <c r="H391" i="1" s="1"/>
  <c r="E392" i="1"/>
  <c r="H392" i="1" s="1"/>
  <c r="E31" i="1"/>
  <c r="H31" i="1" s="1"/>
  <c r="E191" i="1"/>
  <c r="H191" i="1" s="1"/>
  <c r="E110" i="1"/>
  <c r="H110" i="1" s="1"/>
  <c r="E111" i="1"/>
  <c r="H111" i="1" s="1"/>
  <c r="E393" i="1"/>
  <c r="H393" i="1" s="1"/>
  <c r="E192" i="1"/>
  <c r="H192" i="1" s="1"/>
  <c r="E296" i="1"/>
  <c r="H296" i="1" s="1"/>
  <c r="E297" i="1"/>
  <c r="H297" i="1" s="1"/>
  <c r="E112" i="1"/>
  <c r="H112" i="1" s="1"/>
  <c r="E113" i="1"/>
  <c r="H113" i="1" s="1"/>
  <c r="E32" i="1"/>
  <c r="H32" i="1" s="1"/>
  <c r="E33" i="1"/>
  <c r="E394" i="1"/>
  <c r="E34" i="1"/>
  <c r="H34" i="1" s="1"/>
  <c r="E193" i="1"/>
  <c r="H193" i="1" s="1"/>
  <c r="E298" i="1"/>
  <c r="H298" i="1" s="1"/>
  <c r="E299" i="1"/>
  <c r="H299" i="1" s="1"/>
  <c r="E114" i="1"/>
  <c r="H114" i="1" s="1"/>
  <c r="E35" i="1"/>
  <c r="H35" i="1" s="1"/>
  <c r="E194" i="1"/>
  <c r="H194" i="1" s="1"/>
  <c r="E476" i="1"/>
  <c r="H476" i="1" s="1"/>
  <c r="E115" i="1"/>
  <c r="H115" i="1" s="1"/>
  <c r="E395" i="1"/>
  <c r="H395" i="1" s="1"/>
  <c r="E116" i="1"/>
  <c r="H116" i="1" s="1"/>
  <c r="E300" i="1"/>
  <c r="H300" i="1" s="1"/>
  <c r="E396" i="1"/>
  <c r="H396" i="1" s="1"/>
  <c r="E397" i="1"/>
  <c r="H397" i="1" s="1"/>
  <c r="E36" i="1"/>
  <c r="E195" i="1"/>
  <c r="E117" i="1"/>
  <c r="H117" i="1" s="1"/>
  <c r="E118" i="1"/>
  <c r="H118" i="1" s="1"/>
  <c r="E398" i="1"/>
  <c r="H398" i="1" s="1"/>
  <c r="E196" i="1"/>
  <c r="H196" i="1" s="1"/>
  <c r="E301" i="1"/>
  <c r="H301" i="1" s="1"/>
  <c r="E302" i="1"/>
  <c r="H302" i="1" s="1"/>
  <c r="E119" i="1"/>
  <c r="H119" i="1" s="1"/>
  <c r="E120" i="1"/>
  <c r="H120" i="1" s="1"/>
  <c r="E37" i="1"/>
  <c r="H37" i="1" s="1"/>
  <c r="E38" i="1"/>
  <c r="H38" i="1" s="1"/>
  <c r="E399" i="1"/>
  <c r="H399" i="1" s="1"/>
  <c r="E39" i="1"/>
  <c r="H39" i="1" s="1"/>
  <c r="E197" i="1"/>
  <c r="H197" i="1" s="1"/>
  <c r="E303" i="1"/>
  <c r="H303" i="1" s="1"/>
  <c r="E304" i="1"/>
  <c r="E121" i="1"/>
  <c r="E40" i="1"/>
  <c r="H40" i="1" s="1"/>
  <c r="E198" i="1"/>
  <c r="H198" i="1" s="1"/>
  <c r="E477" i="1"/>
  <c r="H477" i="1" s="1"/>
  <c r="E122" i="1"/>
  <c r="H122" i="1" s="1"/>
  <c r="E400" i="1"/>
  <c r="H400" i="1" s="1"/>
  <c r="E123" i="1"/>
  <c r="H123" i="1" s="1"/>
  <c r="E305" i="1"/>
  <c r="H305" i="1" s="1"/>
  <c r="E401" i="1"/>
  <c r="H401" i="1" s="1"/>
  <c r="E402" i="1"/>
  <c r="H402" i="1" s="1"/>
  <c r="E41" i="1"/>
  <c r="H41" i="1" s="1"/>
  <c r="E199" i="1"/>
  <c r="H199" i="1" s="1"/>
  <c r="E124" i="1"/>
  <c r="H124" i="1" s="1"/>
  <c r="E125" i="1"/>
  <c r="H125" i="1" s="1"/>
  <c r="E403" i="1"/>
  <c r="H403" i="1" s="1"/>
  <c r="E478" i="1"/>
  <c r="E404" i="1"/>
  <c r="E405" i="1"/>
  <c r="H405" i="1" s="1"/>
  <c r="E200" i="1"/>
  <c r="H200" i="1" s="1"/>
  <c r="E306" i="1"/>
  <c r="H306" i="1" s="1"/>
  <c r="E307" i="1"/>
  <c r="H307" i="1" s="1"/>
  <c r="E126" i="1"/>
  <c r="H126" i="1" s="1"/>
  <c r="E127" i="1"/>
  <c r="H127" i="1" s="1"/>
  <c r="E42" i="1"/>
  <c r="H42" i="1" s="1"/>
  <c r="E43" i="1"/>
  <c r="H43" i="1" s="1"/>
  <c r="E406" i="1"/>
  <c r="H406" i="1" s="1"/>
  <c r="E44" i="1"/>
  <c r="H44" i="1" s="1"/>
  <c r="E201" i="1"/>
  <c r="H201" i="1" s="1"/>
  <c r="E308" i="1"/>
  <c r="H308" i="1" s="1"/>
  <c r="E309" i="1"/>
  <c r="H309" i="1" s="1"/>
  <c r="E128" i="1"/>
  <c r="H128" i="1" s="1"/>
  <c r="E45" i="1"/>
  <c r="E202" i="1"/>
  <c r="E129" i="1"/>
  <c r="H129" i="1" s="1"/>
  <c r="E130" i="1"/>
  <c r="H130" i="1" s="1"/>
  <c r="E310" i="1"/>
  <c r="H310" i="1" s="1"/>
  <c r="E407" i="1"/>
  <c r="H407" i="1" s="1"/>
  <c r="E46" i="1"/>
  <c r="H46" i="1" s="1"/>
  <c r="E203" i="1"/>
  <c r="H203" i="1" s="1"/>
  <c r="E131" i="1"/>
  <c r="H131" i="1" s="1"/>
  <c r="E132" i="1"/>
  <c r="H132" i="1" s="1"/>
  <c r="E408" i="1"/>
  <c r="H408" i="1" s="1"/>
  <c r="E204" i="1"/>
  <c r="H204" i="1" s="1"/>
  <c r="E311" i="1"/>
  <c r="H311" i="1" s="1"/>
  <c r="E312" i="1"/>
  <c r="H312" i="1" s="1"/>
  <c r="E133" i="1"/>
  <c r="H133" i="1" s="1"/>
  <c r="E134" i="1"/>
  <c r="H134" i="1" s="1"/>
  <c r="E47" i="1"/>
  <c r="E48" i="1"/>
  <c r="E409" i="1"/>
  <c r="H409" i="1" s="1"/>
  <c r="E49" i="1"/>
  <c r="H49" i="1" s="1"/>
  <c r="E205" i="1"/>
  <c r="H205" i="1" s="1"/>
  <c r="E313" i="1"/>
  <c r="H313" i="1" s="1"/>
  <c r="E314" i="1"/>
  <c r="H314" i="1" s="1"/>
  <c r="E135" i="1"/>
  <c r="H135" i="1" s="1"/>
  <c r="E50" i="1"/>
  <c r="H50" i="1" s="1"/>
  <c r="E206" i="1"/>
  <c r="H206" i="1" s="1"/>
  <c r="E479" i="1"/>
  <c r="H479" i="1" s="1"/>
  <c r="E136" i="1"/>
  <c r="H136" i="1" s="1"/>
  <c r="E410" i="1"/>
  <c r="H410" i="1" s="1"/>
  <c r="E137" i="1"/>
  <c r="H137" i="1" s="1"/>
  <c r="E315" i="1"/>
  <c r="H315" i="1" s="1"/>
  <c r="E411" i="1"/>
  <c r="H411" i="1" s="1"/>
  <c r="E412" i="1"/>
  <c r="E51" i="1"/>
  <c r="E207" i="1"/>
  <c r="H207" i="1" s="1"/>
  <c r="E138" i="1"/>
  <c r="H138" i="1" s="1"/>
  <c r="E139" i="1"/>
  <c r="H139" i="1" s="1"/>
  <c r="E413" i="1"/>
  <c r="H413" i="1" s="1"/>
  <c r="E208" i="1"/>
  <c r="H208" i="1" s="1"/>
  <c r="E316" i="1"/>
  <c r="H316" i="1" s="1"/>
  <c r="E317" i="1"/>
  <c r="H317" i="1" s="1"/>
  <c r="E140" i="1"/>
  <c r="H140" i="1" s="1"/>
  <c r="E141" i="1"/>
  <c r="H141" i="1" s="1"/>
  <c r="E52" i="1"/>
  <c r="H52" i="1" s="1"/>
  <c r="E414" i="1"/>
  <c r="H414" i="1" s="1"/>
  <c r="E53" i="1"/>
  <c r="H53" i="1" s="1"/>
  <c r="E209" i="1"/>
  <c r="H209" i="1" s="1"/>
  <c r="E318" i="1"/>
  <c r="H318" i="1" s="1"/>
  <c r="E319" i="1"/>
  <c r="E142" i="1"/>
  <c r="E210" i="1"/>
  <c r="H210" i="1" s="1"/>
  <c r="E480" i="1"/>
  <c r="H480" i="1" s="1"/>
  <c r="E143" i="1"/>
  <c r="H143" i="1" s="1"/>
  <c r="E415" i="1"/>
  <c r="H415" i="1" s="1"/>
  <c r="E144" i="1"/>
  <c r="H144" i="1" s="1"/>
  <c r="E320" i="1"/>
  <c r="H320" i="1" s="1"/>
  <c r="E416" i="1"/>
  <c r="H416" i="1" s="1"/>
  <c r="E417" i="1"/>
  <c r="H417" i="1" s="1"/>
  <c r="E54" i="1"/>
  <c r="H54" i="1" s="1"/>
  <c r="E211" i="1"/>
  <c r="H211" i="1" s="1"/>
  <c r="E145" i="1"/>
  <c r="H145" i="1" s="1"/>
  <c r="E146" i="1"/>
  <c r="H146" i="1" s="1"/>
  <c r="E418" i="1"/>
  <c r="H418" i="1" s="1"/>
  <c r="E55" i="1"/>
  <c r="H55" i="1" s="1"/>
  <c r="E56" i="1"/>
  <c r="E481" i="1"/>
  <c r="E419" i="1"/>
  <c r="H419" i="1" s="1"/>
  <c r="E420" i="1"/>
  <c r="H420" i="1" s="1"/>
  <c r="E212" i="1"/>
  <c r="H212" i="1" s="1"/>
  <c r="E321" i="1"/>
  <c r="H321" i="1" s="1"/>
  <c r="E322" i="1"/>
  <c r="H322" i="1" s="1"/>
  <c r="E147" i="1"/>
  <c r="H147" i="1" s="1"/>
  <c r="E148" i="1"/>
  <c r="H148" i="1" s="1"/>
  <c r="E57" i="1"/>
  <c r="H57" i="1" s="1"/>
  <c r="E58" i="1"/>
  <c r="H58" i="1" s="1"/>
  <c r="E421" i="1"/>
  <c r="H421" i="1" s="1"/>
  <c r="E59" i="1"/>
  <c r="H59" i="1" s="1"/>
  <c r="E213" i="1"/>
  <c r="H213" i="1" s="1"/>
  <c r="E323" i="1"/>
  <c r="H323" i="1" s="1"/>
  <c r="E324" i="1"/>
  <c r="H324" i="1" s="1"/>
  <c r="E149" i="1"/>
  <c r="E60" i="1"/>
  <c r="E214" i="1"/>
  <c r="H214" i="1" s="1"/>
  <c r="E150" i="1"/>
  <c r="H150" i="1" s="1"/>
  <c r="E151" i="1"/>
  <c r="H151" i="1" s="1"/>
  <c r="E325" i="1"/>
  <c r="H325" i="1" s="1"/>
  <c r="E422" i="1"/>
  <c r="H422" i="1" s="1"/>
  <c r="E61" i="1"/>
  <c r="H61" i="1" s="1"/>
  <c r="E215" i="1"/>
  <c r="H215" i="1" s="1"/>
  <c r="E152" i="1"/>
  <c r="H152" i="1" s="1"/>
  <c r="E153" i="1"/>
  <c r="H153" i="1" s="1"/>
  <c r="E423" i="1"/>
  <c r="H423" i="1" s="1"/>
  <c r="E216" i="1"/>
  <c r="H216" i="1" s="1"/>
  <c r="E326" i="1"/>
  <c r="H326" i="1" s="1"/>
  <c r="E327" i="1"/>
  <c r="H327" i="1" s="1"/>
  <c r="E154" i="1"/>
  <c r="H154" i="1" s="1"/>
  <c r="E155" i="1"/>
  <c r="E62" i="1"/>
  <c r="E424" i="1"/>
  <c r="H424" i="1" s="1"/>
  <c r="E63" i="1"/>
  <c r="H63" i="1" s="1"/>
  <c r="E217" i="1"/>
  <c r="H217" i="1" s="1"/>
  <c r="E328" i="1"/>
  <c r="H328" i="1" s="1"/>
  <c r="E329" i="1"/>
  <c r="H329" i="1" s="1"/>
  <c r="E156" i="1"/>
  <c r="H156" i="1" s="1"/>
  <c r="E218" i="1"/>
  <c r="H218" i="1" s="1"/>
  <c r="E482" i="1"/>
  <c r="H482" i="1" s="1"/>
  <c r="E157" i="1"/>
  <c r="H157" i="1" s="1"/>
  <c r="E425" i="1"/>
  <c r="H425" i="1" s="1"/>
  <c r="E158" i="1"/>
  <c r="H158" i="1" s="1"/>
  <c r="E330" i="1"/>
  <c r="H330" i="1" s="1"/>
  <c r="E426" i="1"/>
  <c r="H426" i="1" s="1"/>
  <c r="E427" i="1"/>
  <c r="H427" i="1" s="1"/>
  <c r="E64" i="1"/>
  <c r="E219" i="1"/>
  <c r="E159" i="1"/>
  <c r="H159" i="1" s="1"/>
  <c r="E160" i="1"/>
  <c r="H160" i="1" s="1"/>
  <c r="E428" i="1"/>
  <c r="H428" i="1" s="1"/>
  <c r="E65" i="1"/>
  <c r="H65" i="1" s="1"/>
  <c r="E66" i="1"/>
  <c r="H66" i="1" s="1"/>
  <c r="E483" i="1"/>
  <c r="H483" i="1" s="1"/>
  <c r="E429" i="1"/>
  <c r="H429" i="1" s="1"/>
  <c r="E430" i="1"/>
  <c r="H430" i="1" s="1"/>
  <c r="E220" i="1"/>
  <c r="H220" i="1" s="1"/>
  <c r="E331" i="1"/>
  <c r="H331" i="1" s="1"/>
  <c r="E332" i="1"/>
  <c r="H332" i="1" s="1"/>
  <c r="E161" i="1"/>
  <c r="H161" i="1" s="1"/>
  <c r="E162" i="1"/>
  <c r="H162" i="1" s="1"/>
  <c r="E67" i="1"/>
  <c r="H67" i="1" s="1"/>
  <c r="E431" i="1"/>
  <c r="E68" i="1"/>
  <c r="E221" i="1"/>
  <c r="E333" i="1"/>
  <c r="H333" i="1" s="1"/>
  <c r="E334" i="1"/>
  <c r="H334" i="1" s="1"/>
  <c r="E163" i="1"/>
  <c r="H163" i="1" s="1"/>
  <c r="E222" i="1"/>
  <c r="H222" i="1" s="1"/>
  <c r="E164" i="1"/>
  <c r="H164" i="1" s="1"/>
  <c r="E165" i="1"/>
  <c r="H165" i="1" s="1"/>
  <c r="E335" i="1"/>
  <c r="H335" i="1" s="1"/>
  <c r="E432" i="1"/>
  <c r="H432" i="1" s="1"/>
  <c r="E69" i="1"/>
  <c r="H69" i="1" s="1"/>
  <c r="E223" i="1"/>
  <c r="H223" i="1" s="1"/>
  <c r="E166" i="1"/>
  <c r="H166" i="1" s="1"/>
  <c r="E167" i="1"/>
  <c r="H167" i="1" s="1"/>
  <c r="E433" i="1"/>
  <c r="H433" i="1" s="1"/>
  <c r="E434" i="1"/>
  <c r="E484" i="1"/>
  <c r="E485" i="1"/>
  <c r="E435" i="1"/>
  <c r="H435" i="1" s="1"/>
  <c r="E436" i="1"/>
  <c r="H436" i="1" s="1"/>
  <c r="E437" i="1"/>
  <c r="H437" i="1" s="1"/>
  <c r="E438" i="1"/>
  <c r="H438" i="1" s="1"/>
  <c r="E336" i="1"/>
  <c r="H336" i="1" s="1"/>
  <c r="E486" i="1"/>
  <c r="H486" i="1" s="1"/>
  <c r="E224" i="1"/>
  <c r="H224" i="1" s="1"/>
  <c r="E439" i="1"/>
  <c r="H439" i="1" s="1"/>
  <c r="E440" i="1"/>
  <c r="H440" i="1" s="1"/>
  <c r="E337" i="1"/>
  <c r="H337" i="1" s="1"/>
  <c r="E225" i="1"/>
  <c r="H225" i="1" s="1"/>
  <c r="E226" i="1"/>
  <c r="H226" i="1" s="1"/>
  <c r="E487" i="1"/>
  <c r="H487" i="1" s="1"/>
  <c r="E488" i="1"/>
  <c r="E441" i="1"/>
  <c r="E442" i="1"/>
  <c r="E338" i="1"/>
  <c r="H338" i="1" s="1"/>
  <c r="E489" i="1"/>
  <c r="H489" i="1" s="1"/>
  <c r="E490" i="1"/>
  <c r="H490" i="1" s="1"/>
  <c r="E227" i="1"/>
  <c r="H227" i="1" s="1"/>
  <c r="E339" i="1"/>
  <c r="H339" i="1" s="1"/>
  <c r="E228" i="1"/>
  <c r="H228" i="1" s="1"/>
  <c r="E229" i="1"/>
  <c r="H229" i="1" s="1"/>
  <c r="E443" i="1"/>
  <c r="H443" i="1" s="1"/>
  <c r="E340" i="1"/>
  <c r="H340" i="1" s="1"/>
  <c r="E491" i="1"/>
  <c r="H491" i="1" s="1"/>
  <c r="E230" i="1"/>
  <c r="H230" i="1" s="1"/>
  <c r="E444" i="1"/>
  <c r="H444" i="1" s="1"/>
  <c r="E341" i="1"/>
  <c r="H341" i="1" s="1"/>
  <c r="E231" i="1"/>
  <c r="E232" i="1"/>
  <c r="E445" i="1"/>
  <c r="E446" i="1"/>
  <c r="H446" i="1" s="1"/>
  <c r="E342" i="1"/>
  <c r="H342" i="1" s="1"/>
  <c r="E492" i="1"/>
  <c r="H492" i="1" s="1"/>
  <c r="E233" i="1"/>
  <c r="H233" i="1" s="1"/>
  <c r="E343" i="1"/>
  <c r="H343" i="1" s="1"/>
  <c r="E234" i="1"/>
  <c r="H234" i="1" s="1"/>
  <c r="E235" i="1"/>
  <c r="H235" i="1" s="1"/>
  <c r="E447" i="1"/>
  <c r="H447" i="1" s="1"/>
  <c r="E448" i="1"/>
  <c r="H448" i="1" s="1"/>
  <c r="E344" i="1"/>
  <c r="H344" i="1" s="1"/>
  <c r="E493" i="1"/>
  <c r="H493" i="1" s="1"/>
  <c r="E236" i="1"/>
  <c r="H236" i="1" s="1"/>
  <c r="E345" i="1"/>
  <c r="H345" i="1" s="1"/>
  <c r="E237" i="1"/>
  <c r="E238" i="1"/>
  <c r="E449" i="1"/>
  <c r="E346" i="1"/>
  <c r="H346" i="1" s="1"/>
  <c r="E494" i="1"/>
  <c r="H494" i="1" s="1"/>
  <c r="E239" i="1"/>
  <c r="H239" i="1" s="1"/>
  <c r="E450" i="1"/>
  <c r="H450" i="1" s="1"/>
  <c r="E347" i="1"/>
  <c r="H347" i="1" s="1"/>
  <c r="E240" i="1"/>
  <c r="H240" i="1" s="1"/>
  <c r="E241" i="1"/>
  <c r="H241" i="1" s="1"/>
  <c r="E451" i="1"/>
  <c r="H451" i="1" s="1"/>
  <c r="E348" i="1"/>
  <c r="H348" i="1" s="1"/>
  <c r="E495" i="1"/>
  <c r="H495" i="1" s="1"/>
  <c r="E242" i="1"/>
  <c r="H242" i="1" s="1"/>
  <c r="E452" i="1"/>
  <c r="H452" i="1" s="1"/>
  <c r="E349" i="1"/>
  <c r="H349" i="1" s="1"/>
  <c r="E243" i="1"/>
  <c r="E244" i="1"/>
  <c r="E453" i="1"/>
  <c r="E350" i="1"/>
  <c r="H350" i="1" s="1"/>
  <c r="E496" i="1"/>
  <c r="H496" i="1" s="1"/>
  <c r="E245" i="1"/>
  <c r="H245" i="1" s="1"/>
  <c r="E454" i="1"/>
  <c r="H454" i="1" s="1"/>
  <c r="E351" i="1"/>
  <c r="H351" i="1" s="1"/>
  <c r="E246" i="1"/>
  <c r="H246" i="1" s="1"/>
  <c r="E247" i="1"/>
  <c r="H247" i="1" s="1"/>
  <c r="E455" i="1"/>
  <c r="H455" i="1" s="1"/>
  <c r="E456" i="1"/>
  <c r="H456" i="1" s="1"/>
  <c r="E352" i="1"/>
  <c r="H352" i="1" s="1"/>
  <c r="E497" i="1"/>
  <c r="H497" i="1" s="1"/>
  <c r="E248" i="1"/>
  <c r="H248" i="1" s="1"/>
  <c r="E353" i="1"/>
  <c r="H353" i="1" s="1"/>
  <c r="E249" i="1"/>
  <c r="E250" i="1"/>
  <c r="E457" i="1"/>
  <c r="E354" i="1"/>
  <c r="H354" i="1" s="1"/>
  <c r="E498" i="1"/>
  <c r="H498" i="1" s="1"/>
  <c r="E251" i="1"/>
  <c r="H251" i="1" s="1"/>
  <c r="E458" i="1"/>
  <c r="H458" i="1" s="1"/>
  <c r="E355" i="1"/>
  <c r="H355" i="1" s="1"/>
  <c r="E252" i="1"/>
  <c r="H252" i="1" s="1"/>
  <c r="E253" i="1"/>
  <c r="H253" i="1" s="1"/>
  <c r="E459" i="1"/>
  <c r="H459" i="1" s="1"/>
  <c r="E356" i="1"/>
  <c r="H356" i="1" s="1"/>
  <c r="E499" i="1"/>
  <c r="H499" i="1" s="1"/>
  <c r="E254" i="1"/>
  <c r="H254" i="1" s="1"/>
  <c r="E460" i="1"/>
  <c r="H460" i="1" s="1"/>
  <c r="E357" i="1"/>
  <c r="H357" i="1" s="1"/>
  <c r="E255" i="1"/>
  <c r="E256" i="1"/>
  <c r="E461" i="1"/>
  <c r="E462" i="1"/>
  <c r="H462" i="1" s="1"/>
  <c r="E358" i="1"/>
  <c r="H358" i="1" s="1"/>
  <c r="E500" i="1"/>
  <c r="H500" i="1" s="1"/>
  <c r="E257" i="1"/>
  <c r="H257" i="1" s="1"/>
  <c r="E359" i="1"/>
  <c r="H359" i="1" s="1"/>
  <c r="E258" i="1"/>
  <c r="H258" i="1" s="1"/>
  <c r="E259" i="1"/>
  <c r="H259" i="1" s="1"/>
  <c r="E463" i="1"/>
  <c r="H463" i="1" s="1"/>
  <c r="E360" i="1"/>
  <c r="H360" i="1" s="1"/>
  <c r="E501" i="1"/>
  <c r="H501" i="1" s="1"/>
  <c r="E260" i="1"/>
  <c r="H260" i="1" s="1"/>
  <c r="E464" i="1"/>
  <c r="H464" i="1" s="1"/>
  <c r="E361" i="1"/>
  <c r="H361" i="1" s="1"/>
  <c r="E261" i="1"/>
  <c r="E262" i="1"/>
  <c r="E465" i="1"/>
  <c r="E466" i="1"/>
  <c r="H466" i="1" s="1"/>
  <c r="E362" i="1"/>
  <c r="H362" i="1" s="1"/>
  <c r="E502" i="1"/>
  <c r="H502" i="1" s="1"/>
  <c r="E263" i="1"/>
  <c r="H263" i="1" s="1"/>
  <c r="E363" i="1"/>
  <c r="H363" i="1" s="1"/>
  <c r="E264" i="1"/>
  <c r="H264" i="1" s="1"/>
  <c r="E265" i="1"/>
  <c r="H265" i="1" s="1"/>
  <c r="E467" i="1"/>
  <c r="H467" i="1" s="1"/>
  <c r="E503" i="1"/>
  <c r="H503" i="1" s="1"/>
  <c r="E468" i="1"/>
  <c r="H468" i="1" s="1"/>
  <c r="E504" i="1"/>
  <c r="H504" i="1" s="1"/>
  <c r="E469" i="1"/>
  <c r="H469" i="1" s="1"/>
  <c r="E505" i="1"/>
  <c r="H505" i="1" s="1"/>
  <c r="E364" i="1"/>
  <c r="H364" i="1" s="1"/>
  <c r="E365" i="1"/>
  <c r="H365" i="1" s="1"/>
  <c r="E168" i="1"/>
  <c r="H168" i="1" s="1"/>
  <c r="E266" i="1"/>
  <c r="H266" i="1" s="1"/>
  <c r="E470" i="1"/>
  <c r="H470" i="1" s="1"/>
</calcChain>
</file>

<file path=xl/sharedStrings.xml><?xml version="1.0" encoding="utf-8"?>
<sst xmlns="http://schemas.openxmlformats.org/spreadsheetml/2006/main" count="1040" uniqueCount="31">
  <si>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</si>
  <si>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</si>
  <si>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</si>
  <si>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</si>
  <si>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</si>
  <si>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</si>
  <si>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</si>
  <si>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</si>
  <si>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</si>
  <si>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</si>
  <si>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</si>
  <si>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</si>
  <si>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</si>
  <si>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</si>
  <si>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</si>
  <si>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</si>
  <si>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</si>
  <si>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</si>
  <si>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</si>
  <si>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</si>
  <si>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</si>
  <si>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</si>
  <si>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</si>
  <si>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</si>
  <si>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</si>
  <si>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</si>
  <si>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</si>
  <si>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Row Labels</t>
  </si>
  <si>
    <t>Grand Total</t>
  </si>
  <si>
    <t>Sum of Товарооборот на склад</t>
  </si>
  <si>
    <t>Sum of Товарооборот,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</si>
</sst>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8EAADB"/>
      </left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 style="thin">
        <color rgb="FF8EAADB"/>
      </left>
      <right/>
      <top style="thin">
        <color rgb="FF8EAADB"/>
      </top>
      <bottom style="thin">
        <color rgb="FF8EAADB"/>
      </bottom>
      <diagonal/>
    </border>
    <border>
      <left/>
      <right/>
      <top style="thin">
        <color rgb="FF8EAADB"/>
      </top>
      <bottom style="thin">
        <color rgb="FF8EAADB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4" fontId="2" fillId="3" borderId="1" xfId="0" applyNumberFormat="1" applyFont="1" applyFill="1" applyBorder="1"/>
    <xf numFmtId="0" fontId="2" fillId="3" borderId="2" xfId="0" applyFont="1" applyFill="1" applyBorder="1"/>
    <xf numFmtId="0" fontId="3" fillId="0" borderId="0" xfId="0" applyFont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164" fontId="2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0" borderId="0" xfId="0" applyFont="1" applyAlignment="1">
      <alignment vertical="center"/>
    </xf>
    <xf numFmtId="164" fontId="2" fillId="0" borderId="1" xfId="0" applyNumberFormat="1" applyFont="1" applyBorder="1"/>
    <xf numFmtId="164" fontId="2" fillId="3" borderId="4" xfId="0" applyNumberFormat="1" applyFont="1" applyFill="1" applyBorder="1"/>
    <xf numFmtId="0" fontId="2" fillId="0" borderId="2" xfId="0" applyFont="1" applyBorder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[TTT Тестирование Аналитик .xlsx]Решение!PivotTable22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Решение!$B$22</c:f>
              <c:strCache>
                <c:ptCount val="1"/>
                <c:pt idx="0">
                  <c:v>Sum of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Решение!$A$23:$A$29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Решение!$B$23:$B$29</c:f>
              <c:numCache>
                <c:formatCode>General</c:formatCode>
                <c:ptCount val="6"/>
                <c:pt idx="0">
                  <c:v>694026564</c:v>
                </c:pt>
                <c:pt idx="1">
                  <c:v>977218631.25059998</c:v>
                </c:pt>
                <c:pt idx="2">
                  <c:v>966875670.33000004</c:v>
                </c:pt>
                <c:pt idx="3">
                  <c:v>997827662.04659998</c:v>
                </c:pt>
                <c:pt idx="4">
                  <c:v>1044249379.25385</c:v>
                </c:pt>
                <c:pt idx="5">
                  <c:v>282161310.18134999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F-4D69-9E36-C073B7B6601C}"/>
            </c:ext>
          </c:extLst>
        </c:ser>
        <c:ser>
          <c:idx val="1"/>
          <c:order val="1"/>
          <c:tx>
            <c:strRef>
              <c:f>Решение!$C$22</c:f>
              <c:strCache>
                <c:ptCount val="1"/>
                <c:pt idx="0">
                  <c:v>Sum of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Решение!$A$23:$A$29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Решение!$C$23:$C$29</c:f>
              <c:numCache>
                <c:formatCode>General</c:formatCode>
                <c:ptCount val="6"/>
                <c:pt idx="0">
                  <c:v>69402656.399999991</c:v>
                </c:pt>
                <c:pt idx="1">
                  <c:v>97721863.125059962</c:v>
                </c:pt>
                <c:pt idx="2">
                  <c:v>96687567.032999992</c:v>
                </c:pt>
                <c:pt idx="3">
                  <c:v>99782766.204660013</c:v>
                </c:pt>
                <c:pt idx="4">
                  <c:v>137661631.27197853</c:v>
                </c:pt>
                <c:pt idx="5">
                  <c:v>47026885.030225001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AF-4D69-9E36-C073B7B66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299712"/>
        <c:axId val="1269305952"/>
      </c:lineChart>
      <c:catAx>
        <c:axId val="126929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305952"/>
        <c:crosses val="autoZero"/>
        <c:auto val="1"/>
        <c:lblAlgn val="ctr"/>
        <c:lblOffset val="100"/>
        <c:noMultiLvlLbl val="0"/>
      </c:catAx>
      <c:valAx>
        <c:axId val="12693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9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2</xdr:row>
      <xdr:rowOff>15240</xdr:rowOff>
    </xdr:from>
    <xdr:to>
      <xdr:col>11</xdr:col>
      <xdr:colOff>594360</xdr:colOff>
      <xdr:row>17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972FFB-301E-706F-27A9-72DC6614E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lgatbek Tleubekov" refreshedDate="46296.711617245368" createdVersion="8" refreshedVersion="8" minRefreshableVersion="3" recordCount="504" xr:uid="{561E4C9D-D2B1-470B-9C95-9308B87B70AE}">
  <cacheSource type="worksheet">
    <worksheetSource ref="A1:I505" sheet="Лист1"/>
  </cacheSource>
  <cacheFields count="11">
    <cacheField name="Дата" numFmtId="164">
      <sharedItems containsSemiMixedTypes="0" containsNonDate="0" containsDate="1" containsString="0" minDate="2020-04-28T00:00:00" maxDate="2020-06-02T00:00:00" count="35">
        <d v="2020-05-31T00:00:00"/>
        <d v="2020-05-30T00:00:00"/>
        <d v="2020-05-28T00:00:00"/>
        <d v="2020-05-16T00:00:00"/>
        <d v="2020-05-19T00:00:00"/>
        <d v="2020-05-17T00:00:00"/>
        <d v="2020-05-09T00:00:00"/>
        <d v="2020-05-04T00:00:00"/>
        <d v="2020-04-29T00:00:00"/>
        <d v="2020-05-02T00:00:00"/>
        <d v="2020-05-26T00:00:00"/>
        <d v="2020-05-01T00:00:00"/>
        <d v="2020-05-12T00:00:00"/>
        <d v="2020-05-21T00:00:00"/>
        <d v="2020-05-20T00:00:00"/>
        <d v="2020-05-05T00:00:00"/>
        <d v="2020-04-28T00:00:00"/>
        <d v="2020-05-13T00:00:00"/>
        <d v="2020-05-03T00:00:00"/>
        <d v="2020-05-06T00:00:00"/>
        <d v="2020-05-23T00:00:00"/>
        <d v="2020-05-25T00:00:00"/>
        <d v="2020-04-30T00:00:00"/>
        <d v="2020-05-10T00:00:00"/>
        <d v="2020-05-08T00:00:00"/>
        <d v="2020-05-07T00:00:00"/>
        <d v="2020-05-24T00:00:00"/>
        <d v="2020-06-01T00:00:00"/>
        <d v="2020-05-29T00:00:00"/>
        <d v="2020-05-27T00:00:00"/>
        <d v="2020-05-22T00:00:00"/>
        <d v="2020-05-11T00:00:00"/>
        <d v="2020-05-18T00:00:00"/>
        <d v="2020-05-14T00:00:00"/>
        <d v="2020-05-15T00:00:00"/>
      </sharedItems>
      <fieldGroup par="10"/>
    </cacheField>
    <cacheField name="Территория" numFmtId="0">
      <sharedItems count="18">
        <s v="Самара"/>
        <s v="Кемерово"/>
        <s v="Екатеринбург"/>
        <s v="Тольятти"/>
        <s v="Нижний Новгород"/>
        <s v="Санкт-Петербург Юг"/>
        <s v="Санкт-Петербург Север"/>
        <s v="Волгоград"/>
        <s v="Казань"/>
        <s v="Пермь"/>
        <s v="Ростов-на-Дону"/>
        <s v="Краснодар"/>
        <s v="Москва Запад"/>
        <s v="Москва Восток"/>
        <s v="Новосибирск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" numFmtId="0">
      <sharedItems containsSemiMixedTypes="0" containsString="0" containsNumber="1" containsInteger="1" minValue="6" maxValue="10"/>
    </cacheField>
    <cacheField name="Количество заказов" numFmtId="0">
      <sharedItems containsSemiMixedTypes="0" containsString="0" containsNumber="1" containsInteger="1" minValue="237" maxValue="965"/>
    </cacheField>
    <cacheField name="Количество клиентов" numFmtId="0">
      <sharedItems containsSemiMixedTypes="0" containsString="0" containsNumber="1" containsInteger="1" minValue="175" maxValue="861"/>
    </cacheField>
    <cacheField name="Товарооборот на склад" numFmtId="0">
      <sharedItems containsSemiMixedTypes="0" containsString="0" containsNumber="1" minValue="40469.1" maxValue="7738861.2857142854" count="504">
        <n v="103995.25"/>
        <n v="112443"/>
        <n v="91992"/>
        <n v="339589.2"/>
        <n v="277111.65000000002"/>
        <n v="288245.84999999998"/>
        <n v="283101.90000000002"/>
        <n v="237231"/>
        <n v="262348.05"/>
        <n v="271124.7"/>
        <n v="424332.85714285716"/>
        <n v="303125.40000000002"/>
        <n v="259577.85"/>
        <n v="274438.2"/>
        <n v="292933.05"/>
        <n v="290676.3"/>
        <n v="241158.75"/>
        <n v="262978.2"/>
        <n v="243491.4"/>
        <n v="293862.3"/>
        <n v="362872.65"/>
        <n v="317658"/>
        <n v="281719.65000000002"/>
        <n v="331296.75"/>
        <n v="264516"/>
        <n v="247221.3"/>
        <n v="292474.65000000002"/>
        <n v="578982.5"/>
        <n v="560254.92857142852"/>
        <n v="403967.57142857142"/>
        <n v="758375.85"/>
        <n v="681551.1"/>
        <n v="677494.65"/>
        <n v="626493.30000000005"/>
        <n v="664224.9"/>
        <n v="718049.85"/>
        <n v="555419.25"/>
        <n v="953779.92857142852"/>
        <n v="889302.45"/>
        <n v="639836.1"/>
        <n v="663384.75"/>
        <n v="724757.55"/>
        <n v="692131.65"/>
        <n v="716364.45"/>
        <n v="699395.25"/>
        <n v="701367"/>
        <n v="616865.69999999995"/>
        <n v="808914.3"/>
        <n v="664560.30000000005"/>
        <n v="702372.75"/>
        <n v="748319.4"/>
        <n v="629377.65"/>
        <n v="659188.35"/>
        <n v="645103.19999999995"/>
        <n v="113050.65"/>
        <n v="93876.45"/>
        <n v="84372.75"/>
        <n v="104640"/>
        <n v="72889.05"/>
        <n v="79791.899999999994"/>
        <n v="61788.15"/>
        <n v="140444.14285714287"/>
        <n v="89113.95"/>
        <n v="73296.45"/>
        <n v="93552.3"/>
        <n v="103724.7"/>
        <n v="79332"/>
        <n v="86998.35"/>
        <n v="86571.45"/>
        <n v="1252107.75"/>
        <n v="63788.1"/>
        <n v="1309243.9285714286"/>
        <n v="69683.25"/>
        <n v="124138.35"/>
        <n v="948795.64285714284"/>
        <n v="103044"/>
        <n v="71619.600000000006"/>
        <n v="100478.85"/>
        <n v="95970.3"/>
        <n v="86375.4"/>
        <n v="82898.399999999994"/>
        <n v="174252.5"/>
        <n v="180069"/>
        <n v="159221.78571428571"/>
        <n v="322251.75"/>
        <n v="286533.75"/>
        <n v="269428.95"/>
        <n v="290216.7"/>
        <n v="245096.85"/>
        <n v="239758.8"/>
        <n v="179923.05"/>
        <n v="415344.42857142858"/>
        <n v="237435.6"/>
        <n v="237043.20000000001"/>
        <n v="285318.15000000002"/>
        <n v="269223"/>
        <n v="207990"/>
        <n v="213681.75"/>
        <n v="237333.75"/>
        <n v="217030.95"/>
        <n v="223251.9"/>
        <n v="338537.25"/>
        <n v="286572.75"/>
        <n v="226766.4"/>
        <n v="286229.84999999998"/>
        <n v="227145.45"/>
        <n v="235067.25"/>
        <n v="291553.34999999998"/>
        <n v="498666.5"/>
        <n v="522023.78571428574"/>
        <n v="429173.35714285716"/>
        <n v="3223586.4"/>
        <n v="2709362.4"/>
        <n v="2665993.0499999998"/>
        <n v="2976819.9"/>
        <n v="2935794"/>
        <n v="3086928.75"/>
        <n v="2434201.65"/>
        <n v="3981802.5569785717"/>
        <n v="3105331.65"/>
        <n v="2904252"/>
        <n v="2785290"/>
        <n v="2936877.1617449997"/>
        <n v="2727844.1145000001"/>
        <n v="2915903.25"/>
        <n v="2646745.35"/>
        <n v="2842700.1"/>
        <n v="2877081.0105599998"/>
        <n v="3510392.6711549996"/>
        <n v="2716591.35"/>
        <n v="3241887.9"/>
        <n v="2953617.6106050001"/>
        <n v="3809155.65"/>
        <n v="2532527.1"/>
        <n v="2818853.4"/>
        <n v="4232363.0999999996"/>
        <n v="3702324.3"/>
        <n v="3683456.7"/>
        <n v="3869342.7"/>
        <n v="3840695.4"/>
        <n v="4155938.4"/>
        <n v="3184373.7"/>
        <n v="5480851.5"/>
        <n v="4007719.35"/>
        <n v="3957857.7"/>
        <n v="3790215.6570000001"/>
        <n v="3963930.9"/>
        <n v="3567173.4"/>
        <n v="3991802.85"/>
        <n v="3719711.55"/>
        <n v="4887961"/>
        <n v="3663199.95"/>
        <n v="5103499.0714285718"/>
        <n v="3809234.4"/>
        <n v="4640808"/>
        <n v="4021572.1071428573"/>
        <n v="3688342.8"/>
        <n v="4302873.45"/>
        <n v="3901087.5"/>
        <n v="4912318.05"/>
        <n v="3376398.9"/>
        <n v="3819138.15"/>
        <n v="665217.9"/>
        <n v="617346.30000000005"/>
        <n v="595280.25"/>
        <n v="725342.7"/>
        <n v="556145.25"/>
        <n v="645445.80000000005"/>
        <n v="411825.15"/>
        <n v="837855.64285714284"/>
        <n v="703222.5"/>
        <n v="552314.55000000005"/>
        <n v="586408.5"/>
        <n v="712194.6"/>
        <n v="577053.9"/>
        <n v="628824.6"/>
        <n v="633382.80000000005"/>
        <n v="6563363"/>
        <n v="622132.05000000005"/>
        <n v="6624414.8571428573"/>
        <n v="545412.15"/>
        <n v="717311.7"/>
        <n v="5421098.3571428573"/>
        <n v="570465"/>
        <n v="681959.4"/>
        <n v="772606.95"/>
        <n v="536570.85"/>
        <n v="617583.75"/>
        <n v="609823.65"/>
        <n v="402514.8"/>
        <n v="355293.75"/>
        <n v="319115.55"/>
        <n v="308489.25"/>
        <n v="281785.34999999998"/>
        <n v="262759.5"/>
        <n v="247046.55"/>
        <n v="528615.85714285716"/>
        <n v="429324.15"/>
        <n v="308061.45"/>
        <n v="381039.45"/>
        <n v="391898.7"/>
        <n v="264868.8"/>
        <n v="286360.05"/>
        <n v="328806.90000000002"/>
        <n v="1083474.75"/>
        <n v="272000.25"/>
        <n v="1299769.5"/>
        <n v="273812.7"/>
        <n v="388321.5"/>
        <n v="871704.42857142852"/>
        <n v="356165.55"/>
        <n v="285331.05"/>
        <n v="354909.75"/>
        <n v="320135.84999999998"/>
        <n v="293450.40000000002"/>
        <n v="344930.25"/>
        <n v="665692.25"/>
        <n v="636634.5"/>
        <n v="556240.07142857148"/>
        <n v="160142.54999999999"/>
        <n v="136484.70000000001"/>
        <n v="137757.75"/>
        <n v="122293.2"/>
        <n v="108521.1"/>
        <n v="111599.25"/>
        <n v="105322.05"/>
        <n v="212733.21428571429"/>
        <n v="146584.20000000001"/>
        <n v="112383"/>
        <n v="138075.15"/>
        <n v="143025.45000000001"/>
        <n v="138417.9"/>
        <n v="110288.7"/>
        <n v="124350.75"/>
        <n v="112000.95"/>
        <n v="122105.7"/>
        <n v="185400.15"/>
        <n v="150786.75"/>
        <n v="110306.85"/>
        <n v="147153.75"/>
        <n v="126978.6"/>
        <n v="112389.45"/>
        <n v="154809.9"/>
        <n v="121503.3"/>
        <n v="140304.75"/>
        <n v="106048.95"/>
        <n v="108121.65"/>
        <n v="61085.55"/>
        <n v="236091.45"/>
        <n v="43324.35"/>
        <n v="164579.14285714287"/>
        <n v="50557.2"/>
        <n v="98963.25"/>
        <n v="110362.35"/>
        <n v="110485.8"/>
        <n v="69459.3"/>
        <n v="227707.2"/>
        <n v="94991.25"/>
        <n v="265353.25"/>
        <n v="66530.25"/>
        <n v="351036"/>
        <n v="73929.149999999994"/>
        <n v="131507.54999999999"/>
        <n v="212561.14285714287"/>
        <n v="123068.7"/>
        <n v="40469.1"/>
        <n v="119828.55"/>
        <n v="79875.899999999994"/>
        <n v="76927.649999999994"/>
        <n v="118486.5"/>
        <n v="292288.34999999998"/>
        <n v="244653"/>
        <n v="243563.25"/>
        <n v="238493.7"/>
        <n v="215566.8"/>
        <n v="168285.15"/>
        <n v="344400.42857142858"/>
        <n v="316851"/>
        <n v="224316"/>
        <n v="219893.55"/>
        <n v="252075.9"/>
        <n v="238033.35"/>
        <n v="226365.15"/>
        <n v="222798.25"/>
        <n v="190655.7"/>
        <n v="229870.07142857142"/>
        <n v="215935.05"/>
        <n v="308914.05"/>
        <n v="177106.71428571429"/>
        <n v="251280.3"/>
        <n v="256008"/>
        <n v="276727.05"/>
        <n v="223596"/>
        <n v="230833.65"/>
        <n v="252690.9"/>
        <n v="2161533.2999999998"/>
        <n v="2111489.85"/>
        <n v="465720.75"/>
        <n v="429333.42857142858"/>
        <n v="365601.64285714284"/>
        <n v="2368938.2999999998"/>
        <n v="2194585.7999999998"/>
        <n v="1954638.6"/>
        <n v="1921863.15"/>
        <n v="2429221.7999999998"/>
        <n v="2087139.15"/>
        <n v="1962536.4"/>
        <n v="3594775.9285714286"/>
        <n v="2541335.1"/>
        <n v="1920517.95"/>
        <n v="2225329.5"/>
        <n v="2195928.6"/>
        <n v="2191943.5499999998"/>
        <n v="2000326.35"/>
        <n v="1943727.3"/>
        <n v="2649227.85"/>
        <n v="2303299.2000000002"/>
        <n v="2859091.05"/>
        <n v="2058274.35"/>
        <n v="2253000"/>
        <n v="2489040.4500000002"/>
        <n v="2388194.85"/>
        <n v="2246013"/>
        <n v="1995980.1"/>
        <n v="2235533.85"/>
        <n v="2059007.25"/>
        <n v="1844909.1"/>
        <n v="1808579.85"/>
        <n v="2279682.75"/>
        <n v="1862592.15"/>
        <n v="3408049.2857142859"/>
        <n v="2395353.6"/>
        <n v="1871803.65"/>
        <n v="2104267.35"/>
        <n v="2141134.9500000002"/>
        <n v="2088014.25"/>
        <n v="1878400.05"/>
        <n v="3597552.75"/>
        <n v="2551907.25"/>
        <n v="3503892.2142857141"/>
        <n v="2212644.4500000002"/>
        <n v="2680662.6"/>
        <n v="2933676.2142857141"/>
        <n v="1980692.7"/>
        <n v="2174046"/>
        <n v="2344372.5"/>
        <n v="2284607.85"/>
        <n v="2146302.2999999998"/>
        <n v="1907111.7"/>
        <n v="98151.9"/>
        <n v="99254.1"/>
        <n v="3452874.75"/>
        <n v="3450282.8571428573"/>
        <n v="2792719.5"/>
        <n v="131635.04999999999"/>
        <n v="112681.05"/>
        <n v="115752.9"/>
        <n v="95580.15"/>
        <n v="90634.35"/>
        <n v="81685.95"/>
        <n v="119116.5"/>
        <n v="113444.4"/>
        <n v="109227.75"/>
        <n v="117257.4"/>
        <n v="121774.95"/>
        <n v="114557.55"/>
        <n v="117269.1"/>
        <n v="81615"/>
        <n v="101656.65"/>
        <n v="145739.1"/>
        <n v="132670.5"/>
        <n v="100451.1"/>
        <n v="121655.7"/>
        <n v="104684.85"/>
        <n v="96588"/>
        <n v="138626.25"/>
        <n v="172922.35714285713"/>
        <n v="106057.5"/>
        <n v="82315.5"/>
        <n v="132667.92857142858"/>
        <n v="93033.857142857145"/>
        <n v="99238.5"/>
        <n v="430821.64285714284"/>
        <n v="309106.95"/>
        <n v="78139.25"/>
        <n v="247939.65"/>
        <n v="253307.78571428571"/>
        <n v="198206.14285714287"/>
        <n v="282637.95"/>
        <n v="270313.2"/>
        <n v="303829.34999999998"/>
        <n v="490839.25"/>
        <n v="144337.25"/>
        <n v="456166.71428571426"/>
        <n v="957297.64285714284"/>
        <n v="772846.5"/>
        <n v="1138320.25"/>
        <n v="237235"/>
        <n v="639871.94999999995"/>
        <n v="660971.4"/>
        <n v="605364.9"/>
        <n v="687645.45"/>
        <n v="150685.5"/>
        <n v="145504.95000000001"/>
        <n v="167957"/>
        <n v="73433.55"/>
        <n v="1055302.2857142857"/>
        <n v="93642.75"/>
        <n v="98156.4"/>
        <n v="115057.95"/>
        <n v="181923.42857142858"/>
        <n v="417733.28571428574"/>
        <n v="341418"/>
        <n v="502252"/>
        <n v="391197.9"/>
        <n v="258814.8"/>
        <n v="244152"/>
        <n v="294907.8"/>
        <n v="465436.28571428574"/>
        <n v="4179570.4285714286"/>
        <n v="2946576.9"/>
        <n v="4628348.75"/>
        <n v="2462823.3223949997"/>
        <n v="2753528.4147600001"/>
        <n v="2818129.2"/>
        <n v="3235433.1"/>
        <n v="5576408.7857142854"/>
        <n v="3949837.35"/>
        <n v="6209640.0302250003"/>
        <n v="3378158.1"/>
        <n v="5966734.300714286"/>
        <n v="3687688.8"/>
        <n v="3796315.05"/>
        <n v="4227137.7"/>
        <n v="855127.71428571432"/>
        <n v="594348.9"/>
        <n v="966715"/>
        <n v="517816.95"/>
        <n v="7738861.2857142854"/>
        <n v="579847.65"/>
        <n v="536660.25"/>
        <n v="629395.19999999995"/>
        <n v="540121.71428571432"/>
        <n v="484083.3"/>
        <n v="644208.5"/>
        <n v="307963.05"/>
        <n v="1032627.8571428572"/>
        <n v="336013.5"/>
        <n v="316647.90000000002"/>
        <n v="377225.85"/>
        <n v="586942.28571428568"/>
        <n v="229012.07142857142"/>
        <n v="177432.9"/>
        <n v="254434.75"/>
        <n v="109600.2"/>
        <n v="124616.25"/>
        <n v="122349.15"/>
        <n v="137048.25"/>
        <n v="173065.28571428571"/>
        <n v="141190.95000000001"/>
        <n v="260938.75"/>
        <n v="108115.8"/>
        <n v="252095.57142857142"/>
        <n v="111514.65"/>
        <n v="96350.25"/>
        <n v="112273.05"/>
        <n v="351222.21428571426"/>
        <n v="254071.5"/>
        <n v="423161.25"/>
        <n v="216436.5"/>
        <n v="221288.57142857142"/>
        <n v="232449"/>
        <n v="222534.15"/>
        <n v="247748.7"/>
        <n v="407820.21428571426"/>
        <n v="3191757.2142857141"/>
        <n v="2238077.25"/>
        <n v="3244228.75"/>
        <n v="1791914.4"/>
        <n v="2042243.55"/>
        <n v="1994243.55"/>
        <n v="2308522.2000000002"/>
        <n v="2993332.0714285714"/>
        <n v="2081258.55"/>
        <n v="3152365.75"/>
        <n v="1697123.1"/>
        <n v="3302920.5"/>
        <n v="1985512.2"/>
        <n v="1864099.8"/>
        <n v="2189529.4500000002"/>
        <n v="3202307.3571428573"/>
        <n v="98240.571428571435"/>
        <n v="139877.1"/>
        <n v="64835.5"/>
        <n v="88035.6"/>
        <n v="123071.1"/>
        <n v="113167.65"/>
        <n v="109104"/>
        <n v="192885.64285714287"/>
        <n v="68482"/>
        <n v="121548.64285714286"/>
        <n v="133741.25"/>
        <n v="205465.07142857142"/>
        <n v="215536.5"/>
      </sharedItems>
    </cacheField>
    <cacheField name="Неделя" numFmtId="0">
      <sharedItems containsSemiMixedTypes="0" containsString="0" containsNumber="1" containsInteger="1" minValue="18" maxValue="23" count="6">
        <n v="23"/>
        <n v="22"/>
        <n v="20"/>
        <n v="21"/>
        <n v="19"/>
        <n v="18"/>
      </sharedItems>
    </cacheField>
    <cacheField name="Days (Дата)" numFmtId="0" databaseField="0">
      <fieldGroup base="0">
        <rangePr groupBy="days" startDate="2020-04-28T00:00:00" endDate="2020-06-02T00:00:00"/>
        <groupItems count="368">
          <s v="&lt;28.04.2020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2.06.2020"/>
        </groupItems>
      </fieldGroup>
    </cacheField>
    <cacheField name="Months (Дата)" numFmtId="0" databaseField="0">
      <fieldGroup base="0">
        <rangePr groupBy="months" startDate="2020-04-28T00:00:00" endDate="2020-06-02T00:00:00"/>
        <groupItems count="14">
          <s v="&lt;28.04.2020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2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x v="0"/>
    <x v="0"/>
    <n v="7944"/>
    <n v="623971.5"/>
    <n v="6"/>
    <n v="261"/>
    <n v="188"/>
    <x v="0"/>
    <x v="0"/>
  </r>
  <r>
    <x v="1"/>
    <x v="0"/>
    <n v="10029"/>
    <n v="787101"/>
    <n v="7"/>
    <n v="532"/>
    <n v="449"/>
    <x v="1"/>
    <x v="1"/>
  </r>
  <r>
    <x v="2"/>
    <x v="0"/>
    <n v="8536.5"/>
    <n v="643944"/>
    <n v="7"/>
    <n v="420"/>
    <n v="347"/>
    <x v="2"/>
    <x v="1"/>
  </r>
  <r>
    <x v="3"/>
    <x v="1"/>
    <n v="38947.5"/>
    <n v="3395892"/>
    <n v="10"/>
    <n v="760"/>
    <n v="672"/>
    <x v="3"/>
    <x v="2"/>
  </r>
  <r>
    <x v="4"/>
    <x v="1"/>
    <n v="31842"/>
    <n v="2771116.5"/>
    <n v="10"/>
    <n v="649"/>
    <n v="568"/>
    <x v="4"/>
    <x v="3"/>
  </r>
  <r>
    <x v="5"/>
    <x v="1"/>
    <n v="32023.5"/>
    <n v="2882458.5"/>
    <n v="10"/>
    <n v="591"/>
    <n v="513"/>
    <x v="5"/>
    <x v="3"/>
  </r>
  <r>
    <x v="6"/>
    <x v="1"/>
    <n v="31147.5"/>
    <n v="2831019"/>
    <n v="10"/>
    <n v="644"/>
    <n v="559"/>
    <x v="6"/>
    <x v="4"/>
  </r>
  <r>
    <x v="7"/>
    <x v="1"/>
    <n v="25566"/>
    <n v="2372310"/>
    <n v="10"/>
    <n v="462"/>
    <n v="396"/>
    <x v="7"/>
    <x v="4"/>
  </r>
  <r>
    <x v="8"/>
    <x v="1"/>
    <n v="29319"/>
    <n v="2623480.5"/>
    <n v="10"/>
    <n v="502"/>
    <n v="433"/>
    <x v="8"/>
    <x v="5"/>
  </r>
  <r>
    <x v="9"/>
    <x v="1"/>
    <n v="29031"/>
    <n v="2711247"/>
    <n v="10"/>
    <n v="416"/>
    <n v="341"/>
    <x v="9"/>
    <x v="5"/>
  </r>
  <r>
    <x v="10"/>
    <x v="1"/>
    <n v="33423"/>
    <n v="2970330"/>
    <n v="7"/>
    <n v="577"/>
    <n v="389"/>
    <x v="10"/>
    <x v="1"/>
  </r>
  <r>
    <x v="11"/>
    <x v="1"/>
    <n v="32487"/>
    <n v="3031254"/>
    <n v="10"/>
    <n v="554"/>
    <n v="472"/>
    <x v="11"/>
    <x v="5"/>
  </r>
  <r>
    <x v="12"/>
    <x v="1"/>
    <n v="28219.5"/>
    <n v="2595778.5"/>
    <n v="10"/>
    <n v="526"/>
    <n v="448"/>
    <x v="12"/>
    <x v="2"/>
  </r>
  <r>
    <x v="13"/>
    <x v="1"/>
    <n v="31272"/>
    <n v="2744382"/>
    <n v="10"/>
    <n v="677"/>
    <n v="591"/>
    <x v="13"/>
    <x v="3"/>
  </r>
  <r>
    <x v="14"/>
    <x v="1"/>
    <n v="34077"/>
    <n v="2929330.5"/>
    <n v="10"/>
    <n v="745"/>
    <n v="654"/>
    <x v="14"/>
    <x v="3"/>
  </r>
  <r>
    <x v="15"/>
    <x v="1"/>
    <n v="31566"/>
    <n v="2906763"/>
    <n v="10"/>
    <n v="511"/>
    <n v="437"/>
    <x v="15"/>
    <x v="4"/>
  </r>
  <r>
    <x v="16"/>
    <x v="1"/>
    <n v="26940"/>
    <n v="2411587.5"/>
    <n v="10"/>
    <n v="580"/>
    <n v="506"/>
    <x v="16"/>
    <x v="5"/>
  </r>
  <r>
    <x v="17"/>
    <x v="1"/>
    <n v="29241"/>
    <n v="2629782"/>
    <n v="10"/>
    <n v="612"/>
    <n v="530"/>
    <x v="17"/>
    <x v="2"/>
  </r>
  <r>
    <x v="18"/>
    <x v="1"/>
    <n v="26082"/>
    <n v="2434914"/>
    <n v="10"/>
    <n v="402"/>
    <n v="333"/>
    <x v="18"/>
    <x v="4"/>
  </r>
  <r>
    <x v="19"/>
    <x v="1"/>
    <n v="32511"/>
    <n v="2938623"/>
    <n v="10"/>
    <n v="465"/>
    <n v="390"/>
    <x v="19"/>
    <x v="4"/>
  </r>
  <r>
    <x v="20"/>
    <x v="1"/>
    <n v="42703.5"/>
    <n v="3628726.5"/>
    <n v="10"/>
    <n v="828"/>
    <n v="734"/>
    <x v="20"/>
    <x v="3"/>
  </r>
  <r>
    <x v="21"/>
    <x v="1"/>
    <n v="35592"/>
    <n v="3176580"/>
    <n v="10"/>
    <n v="739"/>
    <n v="642"/>
    <x v="21"/>
    <x v="1"/>
  </r>
  <r>
    <x v="22"/>
    <x v="1"/>
    <n v="30445.5"/>
    <n v="2817196.5"/>
    <n v="10"/>
    <n v="448"/>
    <n v="376"/>
    <x v="22"/>
    <x v="5"/>
  </r>
  <r>
    <x v="23"/>
    <x v="1"/>
    <n v="36619.5"/>
    <n v="3312967.5"/>
    <n v="10"/>
    <n v="642"/>
    <n v="556"/>
    <x v="23"/>
    <x v="2"/>
  </r>
  <r>
    <x v="24"/>
    <x v="1"/>
    <n v="29409"/>
    <n v="2645160"/>
    <n v="10"/>
    <n v="638"/>
    <n v="547"/>
    <x v="24"/>
    <x v="4"/>
  </r>
  <r>
    <x v="25"/>
    <x v="1"/>
    <n v="27018"/>
    <n v="2472213"/>
    <n v="10"/>
    <n v="563"/>
    <n v="486"/>
    <x v="25"/>
    <x v="4"/>
  </r>
  <r>
    <x v="26"/>
    <x v="1"/>
    <n v="34303.5"/>
    <n v="2924746.5"/>
    <n v="10"/>
    <n v="639"/>
    <n v="557"/>
    <x v="26"/>
    <x v="1"/>
  </r>
  <r>
    <x v="0"/>
    <x v="1"/>
    <n v="36999"/>
    <n v="3473895"/>
    <n v="6"/>
    <n v="261"/>
    <n v="188"/>
    <x v="27"/>
    <x v="0"/>
  </r>
  <r>
    <x v="1"/>
    <x v="1"/>
    <n v="44001"/>
    <n v="3921784.5"/>
    <n v="7"/>
    <n v="532"/>
    <n v="449"/>
    <x v="28"/>
    <x v="1"/>
  </r>
  <r>
    <x v="2"/>
    <x v="1"/>
    <n v="30982.5"/>
    <n v="2827773"/>
    <n v="7"/>
    <n v="420"/>
    <n v="347"/>
    <x v="29"/>
    <x v="1"/>
  </r>
  <r>
    <x v="3"/>
    <x v="2"/>
    <n v="88063.5"/>
    <n v="7583758.5"/>
    <n v="10"/>
    <n v="760"/>
    <n v="672"/>
    <x v="30"/>
    <x v="2"/>
  </r>
  <r>
    <x v="4"/>
    <x v="2"/>
    <n v="84024"/>
    <n v="6815511"/>
    <n v="10"/>
    <n v="649"/>
    <n v="568"/>
    <x v="31"/>
    <x v="3"/>
  </r>
  <r>
    <x v="5"/>
    <x v="2"/>
    <n v="78057"/>
    <n v="6774946.5"/>
    <n v="10"/>
    <n v="591"/>
    <n v="513"/>
    <x v="32"/>
    <x v="3"/>
  </r>
  <r>
    <x v="6"/>
    <x v="2"/>
    <n v="69720"/>
    <n v="6264933"/>
    <n v="10"/>
    <n v="644"/>
    <n v="559"/>
    <x v="33"/>
    <x v="4"/>
  </r>
  <r>
    <x v="7"/>
    <x v="2"/>
    <n v="72928.5"/>
    <n v="6642249"/>
    <n v="10"/>
    <n v="462"/>
    <n v="396"/>
    <x v="34"/>
    <x v="4"/>
  </r>
  <r>
    <x v="8"/>
    <x v="2"/>
    <n v="79527"/>
    <n v="7180498.5"/>
    <n v="10"/>
    <n v="502"/>
    <n v="433"/>
    <x v="35"/>
    <x v="5"/>
  </r>
  <r>
    <x v="9"/>
    <x v="2"/>
    <n v="60463.5"/>
    <n v="5554192.5"/>
    <n v="10"/>
    <n v="416"/>
    <n v="341"/>
    <x v="36"/>
    <x v="5"/>
  </r>
  <r>
    <x v="10"/>
    <x v="2"/>
    <n v="79975.5"/>
    <n v="6676459.5"/>
    <n v="7"/>
    <n v="577"/>
    <n v="389"/>
    <x v="37"/>
    <x v="1"/>
  </r>
  <r>
    <x v="11"/>
    <x v="2"/>
    <n v="97534.5"/>
    <n v="8893024.5"/>
    <n v="10"/>
    <n v="554"/>
    <n v="472"/>
    <x v="38"/>
    <x v="5"/>
  </r>
  <r>
    <x v="12"/>
    <x v="2"/>
    <n v="71520"/>
    <n v="6398361"/>
    <n v="10"/>
    <n v="526"/>
    <n v="448"/>
    <x v="39"/>
    <x v="2"/>
  </r>
  <r>
    <x v="13"/>
    <x v="2"/>
    <n v="79485"/>
    <n v="6633847.5"/>
    <n v="10"/>
    <n v="677"/>
    <n v="591"/>
    <x v="40"/>
    <x v="3"/>
  </r>
  <r>
    <x v="14"/>
    <x v="2"/>
    <n v="93313.5"/>
    <n v="7247575.5"/>
    <n v="10"/>
    <n v="745"/>
    <n v="654"/>
    <x v="41"/>
    <x v="3"/>
  </r>
  <r>
    <x v="15"/>
    <x v="2"/>
    <n v="76585.5"/>
    <n v="6921316.5"/>
    <n v="10"/>
    <n v="511"/>
    <n v="437"/>
    <x v="42"/>
    <x v="4"/>
  </r>
  <r>
    <x v="16"/>
    <x v="2"/>
    <n v="81826.5"/>
    <n v="7163644.5"/>
    <n v="10"/>
    <n v="580"/>
    <n v="506"/>
    <x v="43"/>
    <x v="5"/>
  </r>
  <r>
    <x v="17"/>
    <x v="2"/>
    <n v="78846"/>
    <n v="6993952.5"/>
    <n v="10"/>
    <n v="612"/>
    <n v="530"/>
    <x v="44"/>
    <x v="2"/>
  </r>
  <r>
    <x v="18"/>
    <x v="2"/>
    <n v="77263.5"/>
    <n v="7013670"/>
    <n v="10"/>
    <n v="402"/>
    <n v="333"/>
    <x v="45"/>
    <x v="4"/>
  </r>
  <r>
    <x v="19"/>
    <x v="2"/>
    <n v="68994"/>
    <n v="6168657"/>
    <n v="10"/>
    <n v="465"/>
    <n v="390"/>
    <x v="46"/>
    <x v="4"/>
  </r>
  <r>
    <x v="20"/>
    <x v="2"/>
    <n v="102889.5"/>
    <n v="8089143"/>
    <n v="10"/>
    <n v="828"/>
    <n v="734"/>
    <x v="47"/>
    <x v="3"/>
  </r>
  <r>
    <x v="21"/>
    <x v="2"/>
    <n v="76999.5"/>
    <n v="6645603"/>
    <n v="10"/>
    <n v="739"/>
    <n v="642"/>
    <x v="48"/>
    <x v="1"/>
  </r>
  <r>
    <x v="22"/>
    <x v="2"/>
    <n v="77565"/>
    <n v="7023727.5"/>
    <n v="10"/>
    <n v="448"/>
    <n v="376"/>
    <x v="49"/>
    <x v="5"/>
  </r>
  <r>
    <x v="23"/>
    <x v="2"/>
    <n v="84132"/>
    <n v="7483194"/>
    <n v="10"/>
    <n v="642"/>
    <n v="556"/>
    <x v="50"/>
    <x v="2"/>
  </r>
  <r>
    <x v="24"/>
    <x v="2"/>
    <n v="69544.5"/>
    <n v="6293776.5"/>
    <n v="10"/>
    <n v="638"/>
    <n v="547"/>
    <x v="51"/>
    <x v="4"/>
  </r>
  <r>
    <x v="25"/>
    <x v="2"/>
    <n v="73204.5"/>
    <n v="6591883.5"/>
    <n v="10"/>
    <n v="563"/>
    <n v="486"/>
    <x v="52"/>
    <x v="4"/>
  </r>
  <r>
    <x v="26"/>
    <x v="2"/>
    <n v="76663.5"/>
    <n v="6451032"/>
    <n v="10"/>
    <n v="639"/>
    <n v="557"/>
    <x v="53"/>
    <x v="1"/>
  </r>
  <r>
    <x v="3"/>
    <x v="3"/>
    <n v="14265"/>
    <n v="1130506.5"/>
    <n v="10"/>
    <n v="760"/>
    <n v="672"/>
    <x v="54"/>
    <x v="2"/>
  </r>
  <r>
    <x v="4"/>
    <x v="3"/>
    <n v="11526"/>
    <n v="938764.5"/>
    <n v="10"/>
    <n v="649"/>
    <n v="568"/>
    <x v="55"/>
    <x v="3"/>
  </r>
  <r>
    <x v="5"/>
    <x v="3"/>
    <n v="10402.5"/>
    <n v="843727.5"/>
    <n v="10"/>
    <n v="591"/>
    <n v="513"/>
    <x v="56"/>
    <x v="3"/>
  </r>
  <r>
    <x v="6"/>
    <x v="3"/>
    <n v="13216.5"/>
    <n v="1046400"/>
    <n v="10"/>
    <n v="644"/>
    <n v="559"/>
    <x v="57"/>
    <x v="4"/>
  </r>
  <r>
    <x v="7"/>
    <x v="3"/>
    <n v="9130.5"/>
    <n v="728890.5"/>
    <n v="10"/>
    <n v="462"/>
    <n v="396"/>
    <x v="58"/>
    <x v="4"/>
  </r>
  <r>
    <x v="8"/>
    <x v="3"/>
    <n v="10840.5"/>
    <n v="797919"/>
    <n v="10"/>
    <n v="502"/>
    <n v="433"/>
    <x v="59"/>
    <x v="5"/>
  </r>
  <r>
    <x v="9"/>
    <x v="3"/>
    <n v="7866"/>
    <n v="617881.5"/>
    <n v="10"/>
    <n v="416"/>
    <n v="341"/>
    <x v="60"/>
    <x v="5"/>
  </r>
  <r>
    <x v="10"/>
    <x v="3"/>
    <n v="11835"/>
    <n v="983109"/>
    <n v="7"/>
    <n v="577"/>
    <n v="389"/>
    <x v="61"/>
    <x v="1"/>
  </r>
  <r>
    <x v="11"/>
    <x v="3"/>
    <n v="11619"/>
    <n v="891139.5"/>
    <n v="10"/>
    <n v="554"/>
    <n v="472"/>
    <x v="62"/>
    <x v="5"/>
  </r>
  <r>
    <x v="12"/>
    <x v="3"/>
    <n v="9328.5"/>
    <n v="732964.5"/>
    <n v="10"/>
    <n v="526"/>
    <n v="448"/>
    <x v="63"/>
    <x v="2"/>
  </r>
  <r>
    <x v="13"/>
    <x v="3"/>
    <n v="11250"/>
    <n v="935523"/>
    <n v="10"/>
    <n v="677"/>
    <n v="591"/>
    <x v="64"/>
    <x v="3"/>
  </r>
  <r>
    <x v="14"/>
    <x v="3"/>
    <n v="13063.5"/>
    <n v="1037247"/>
    <n v="10"/>
    <n v="745"/>
    <n v="654"/>
    <x v="65"/>
    <x v="3"/>
  </r>
  <r>
    <x v="15"/>
    <x v="3"/>
    <n v="10147.5"/>
    <n v="793320"/>
    <n v="10"/>
    <n v="511"/>
    <n v="437"/>
    <x v="66"/>
    <x v="4"/>
  </r>
  <r>
    <x v="16"/>
    <x v="3"/>
    <n v="12331.5"/>
    <n v="869983.5"/>
    <n v="10"/>
    <n v="580"/>
    <n v="506"/>
    <x v="67"/>
    <x v="5"/>
  </r>
  <r>
    <x v="17"/>
    <x v="3"/>
    <n v="11202"/>
    <n v="865714.5"/>
    <n v="10"/>
    <n v="612"/>
    <n v="530"/>
    <x v="68"/>
    <x v="2"/>
  </r>
  <r>
    <x v="0"/>
    <x v="2"/>
    <n v="89149.5"/>
    <n v="7512646.5"/>
    <n v="6"/>
    <n v="261"/>
    <n v="188"/>
    <x v="69"/>
    <x v="0"/>
  </r>
  <r>
    <x v="18"/>
    <x v="3"/>
    <n v="8185.5"/>
    <n v="637881"/>
    <n v="10"/>
    <n v="402"/>
    <n v="333"/>
    <x v="70"/>
    <x v="4"/>
  </r>
  <r>
    <x v="1"/>
    <x v="2"/>
    <n v="108123"/>
    <n v="9164707.5"/>
    <n v="7"/>
    <n v="532"/>
    <n v="449"/>
    <x v="71"/>
    <x v="1"/>
  </r>
  <r>
    <x v="19"/>
    <x v="3"/>
    <n v="9210"/>
    <n v="696832.5"/>
    <n v="10"/>
    <n v="465"/>
    <n v="390"/>
    <x v="72"/>
    <x v="4"/>
  </r>
  <r>
    <x v="20"/>
    <x v="3"/>
    <n v="14773.5"/>
    <n v="1241383.5"/>
    <n v="10"/>
    <n v="828"/>
    <n v="734"/>
    <x v="73"/>
    <x v="3"/>
  </r>
  <r>
    <x v="2"/>
    <x v="2"/>
    <n v="78141"/>
    <n v="6641569.5"/>
    <n v="7"/>
    <n v="420"/>
    <n v="347"/>
    <x v="74"/>
    <x v="1"/>
  </r>
  <r>
    <x v="21"/>
    <x v="3"/>
    <n v="12280.5"/>
    <n v="1030440"/>
    <n v="10"/>
    <n v="739"/>
    <n v="642"/>
    <x v="75"/>
    <x v="1"/>
  </r>
  <r>
    <x v="22"/>
    <x v="3"/>
    <n v="8934"/>
    <n v="716196"/>
    <n v="10"/>
    <n v="448"/>
    <n v="376"/>
    <x v="76"/>
    <x v="5"/>
  </r>
  <r>
    <x v="23"/>
    <x v="3"/>
    <n v="12918"/>
    <n v="1004788.5"/>
    <n v="10"/>
    <n v="642"/>
    <n v="556"/>
    <x v="77"/>
    <x v="2"/>
  </r>
  <r>
    <x v="24"/>
    <x v="3"/>
    <n v="12528"/>
    <n v="959703"/>
    <n v="10"/>
    <n v="638"/>
    <n v="547"/>
    <x v="78"/>
    <x v="4"/>
  </r>
  <r>
    <x v="25"/>
    <x v="3"/>
    <n v="11029.5"/>
    <n v="863754"/>
    <n v="10"/>
    <n v="563"/>
    <n v="486"/>
    <x v="79"/>
    <x v="4"/>
  </r>
  <r>
    <x v="26"/>
    <x v="3"/>
    <n v="9994.5"/>
    <n v="828984"/>
    <n v="10"/>
    <n v="639"/>
    <n v="557"/>
    <x v="80"/>
    <x v="1"/>
  </r>
  <r>
    <x v="0"/>
    <x v="3"/>
    <n v="12724.5"/>
    <n v="1045515"/>
    <n v="6"/>
    <n v="261"/>
    <n v="188"/>
    <x v="81"/>
    <x v="0"/>
  </r>
  <r>
    <x v="1"/>
    <x v="3"/>
    <n v="14728.5"/>
    <n v="1260483"/>
    <n v="7"/>
    <n v="532"/>
    <n v="449"/>
    <x v="82"/>
    <x v="1"/>
  </r>
  <r>
    <x v="2"/>
    <x v="3"/>
    <n v="13038"/>
    <n v="1114552.5"/>
    <n v="7"/>
    <n v="420"/>
    <n v="347"/>
    <x v="83"/>
    <x v="1"/>
  </r>
  <r>
    <x v="3"/>
    <x v="4"/>
    <n v="35482.5"/>
    <n v="3222517.5"/>
    <n v="10"/>
    <n v="760"/>
    <n v="672"/>
    <x v="84"/>
    <x v="2"/>
  </r>
  <r>
    <x v="4"/>
    <x v="4"/>
    <n v="32434.5"/>
    <n v="2865337.5"/>
    <n v="10"/>
    <n v="649"/>
    <n v="568"/>
    <x v="85"/>
    <x v="3"/>
  </r>
  <r>
    <x v="5"/>
    <x v="4"/>
    <n v="30486"/>
    <n v="2694289.5"/>
    <n v="10"/>
    <n v="591"/>
    <n v="513"/>
    <x v="86"/>
    <x v="3"/>
  </r>
  <r>
    <x v="6"/>
    <x v="4"/>
    <n v="32079"/>
    <n v="2902167"/>
    <n v="10"/>
    <n v="644"/>
    <n v="559"/>
    <x v="87"/>
    <x v="4"/>
  </r>
  <r>
    <x v="7"/>
    <x v="4"/>
    <n v="27072"/>
    <n v="2450968.5"/>
    <n v="10"/>
    <n v="462"/>
    <n v="396"/>
    <x v="88"/>
    <x v="4"/>
  </r>
  <r>
    <x v="8"/>
    <x v="4"/>
    <n v="25917"/>
    <n v="2397588"/>
    <n v="10"/>
    <n v="502"/>
    <n v="433"/>
    <x v="89"/>
    <x v="5"/>
  </r>
  <r>
    <x v="9"/>
    <x v="4"/>
    <n v="19461"/>
    <n v="1799230.5"/>
    <n v="10"/>
    <n v="416"/>
    <n v="341"/>
    <x v="90"/>
    <x v="5"/>
  </r>
  <r>
    <x v="10"/>
    <x v="4"/>
    <n v="31407"/>
    <n v="2907411"/>
    <n v="7"/>
    <n v="577"/>
    <n v="389"/>
    <x v="91"/>
    <x v="1"/>
  </r>
  <r>
    <x v="11"/>
    <x v="4"/>
    <n v="25792.5"/>
    <n v="2374356"/>
    <n v="10"/>
    <n v="554"/>
    <n v="472"/>
    <x v="92"/>
    <x v="5"/>
  </r>
  <r>
    <x v="12"/>
    <x v="4"/>
    <n v="26032.5"/>
    <n v="2370432"/>
    <n v="10"/>
    <n v="526"/>
    <n v="448"/>
    <x v="93"/>
    <x v="2"/>
  </r>
  <r>
    <x v="13"/>
    <x v="4"/>
    <n v="31707"/>
    <n v="2853181.5"/>
    <n v="10"/>
    <n v="677"/>
    <n v="591"/>
    <x v="94"/>
    <x v="3"/>
  </r>
  <r>
    <x v="14"/>
    <x v="4"/>
    <n v="29955"/>
    <n v="2692230"/>
    <n v="10"/>
    <n v="745"/>
    <n v="654"/>
    <x v="95"/>
    <x v="3"/>
  </r>
  <r>
    <x v="15"/>
    <x v="4"/>
    <n v="22848"/>
    <n v="2079900"/>
    <n v="10"/>
    <n v="511"/>
    <n v="437"/>
    <x v="96"/>
    <x v="4"/>
  </r>
  <r>
    <x v="16"/>
    <x v="4"/>
    <n v="23314.5"/>
    <n v="2136817.5"/>
    <n v="10"/>
    <n v="580"/>
    <n v="506"/>
    <x v="97"/>
    <x v="5"/>
  </r>
  <r>
    <x v="17"/>
    <x v="4"/>
    <n v="26464.5"/>
    <n v="2373337.5"/>
    <n v="10"/>
    <n v="612"/>
    <n v="530"/>
    <x v="98"/>
    <x v="2"/>
  </r>
  <r>
    <x v="18"/>
    <x v="4"/>
    <n v="23539.5"/>
    <n v="2170309.5"/>
    <n v="10"/>
    <n v="402"/>
    <n v="333"/>
    <x v="99"/>
    <x v="4"/>
  </r>
  <r>
    <x v="19"/>
    <x v="4"/>
    <n v="24678"/>
    <n v="2232519"/>
    <n v="10"/>
    <n v="465"/>
    <n v="390"/>
    <x v="100"/>
    <x v="4"/>
  </r>
  <r>
    <x v="20"/>
    <x v="4"/>
    <n v="38176.5"/>
    <n v="3385372.5"/>
    <n v="10"/>
    <n v="828"/>
    <n v="734"/>
    <x v="101"/>
    <x v="3"/>
  </r>
  <r>
    <x v="21"/>
    <x v="4"/>
    <n v="30603"/>
    <n v="2865727.5"/>
    <n v="10"/>
    <n v="739"/>
    <n v="642"/>
    <x v="102"/>
    <x v="1"/>
  </r>
  <r>
    <x v="22"/>
    <x v="4"/>
    <n v="24211.5"/>
    <n v="2267664"/>
    <n v="10"/>
    <n v="448"/>
    <n v="376"/>
    <x v="103"/>
    <x v="5"/>
  </r>
  <r>
    <x v="23"/>
    <x v="4"/>
    <n v="31399.5"/>
    <n v="2862298.5"/>
    <n v="10"/>
    <n v="642"/>
    <n v="556"/>
    <x v="104"/>
    <x v="2"/>
  </r>
  <r>
    <x v="24"/>
    <x v="4"/>
    <n v="25294.5"/>
    <n v="2271454.5"/>
    <n v="10"/>
    <n v="638"/>
    <n v="547"/>
    <x v="105"/>
    <x v="4"/>
  </r>
  <r>
    <x v="25"/>
    <x v="4"/>
    <n v="25468.5"/>
    <n v="2350672.5"/>
    <n v="10"/>
    <n v="563"/>
    <n v="486"/>
    <x v="106"/>
    <x v="4"/>
  </r>
  <r>
    <x v="26"/>
    <x v="4"/>
    <n v="31854"/>
    <n v="2915533.5"/>
    <n v="10"/>
    <n v="639"/>
    <n v="557"/>
    <x v="107"/>
    <x v="1"/>
  </r>
  <r>
    <x v="0"/>
    <x v="4"/>
    <n v="32359.5"/>
    <n v="2991999"/>
    <n v="6"/>
    <n v="261"/>
    <n v="188"/>
    <x v="108"/>
    <x v="0"/>
  </r>
  <r>
    <x v="1"/>
    <x v="4"/>
    <n v="39867"/>
    <n v="3654166.5"/>
    <n v="7"/>
    <n v="532"/>
    <n v="449"/>
    <x v="109"/>
    <x v="1"/>
  </r>
  <r>
    <x v="2"/>
    <x v="4"/>
    <n v="31974"/>
    <n v="3004213.5"/>
    <n v="7"/>
    <n v="420"/>
    <n v="347"/>
    <x v="110"/>
    <x v="1"/>
  </r>
  <r>
    <x v="3"/>
    <x v="5"/>
    <n v="321412.5"/>
    <n v="32235864"/>
    <n v="10"/>
    <n v="760"/>
    <n v="672"/>
    <x v="111"/>
    <x v="2"/>
  </r>
  <r>
    <x v="4"/>
    <x v="5"/>
    <n v="276568.5"/>
    <n v="27093624"/>
    <n v="10"/>
    <n v="649"/>
    <n v="568"/>
    <x v="112"/>
    <x v="3"/>
  </r>
  <r>
    <x v="5"/>
    <x v="5"/>
    <n v="269029.5"/>
    <n v="26659930.5"/>
    <n v="10"/>
    <n v="591"/>
    <n v="513"/>
    <x v="113"/>
    <x v="3"/>
  </r>
  <r>
    <x v="6"/>
    <x v="5"/>
    <n v="285972"/>
    <n v="29768199"/>
    <n v="10"/>
    <n v="644"/>
    <n v="559"/>
    <x v="114"/>
    <x v="4"/>
  </r>
  <r>
    <x v="7"/>
    <x v="5"/>
    <n v="283942.5"/>
    <n v="29357940"/>
    <n v="10"/>
    <n v="462"/>
    <n v="396"/>
    <x v="115"/>
    <x v="4"/>
  </r>
  <r>
    <x v="8"/>
    <x v="5"/>
    <n v="298059"/>
    <n v="30869287.5"/>
    <n v="10"/>
    <n v="502"/>
    <n v="433"/>
    <x v="116"/>
    <x v="5"/>
  </r>
  <r>
    <x v="9"/>
    <x v="5"/>
    <n v="232903.5"/>
    <n v="24342016.5"/>
    <n v="10"/>
    <n v="416"/>
    <n v="341"/>
    <x v="117"/>
    <x v="5"/>
  </r>
  <r>
    <x v="10"/>
    <x v="5"/>
    <n v="276966"/>
    <n v="27872617.898850001"/>
    <n v="7"/>
    <n v="577"/>
    <n v="389"/>
    <x v="118"/>
    <x v="1"/>
  </r>
  <r>
    <x v="11"/>
    <x v="5"/>
    <n v="296149.5"/>
    <n v="31053316.5"/>
    <n v="10"/>
    <n v="554"/>
    <n v="472"/>
    <x v="119"/>
    <x v="5"/>
  </r>
  <r>
    <x v="12"/>
    <x v="5"/>
    <n v="281796"/>
    <n v="29042520"/>
    <n v="10"/>
    <n v="526"/>
    <n v="448"/>
    <x v="120"/>
    <x v="2"/>
  </r>
  <r>
    <x v="13"/>
    <x v="5"/>
    <n v="288936"/>
    <n v="27852900"/>
    <n v="10"/>
    <n v="677"/>
    <n v="591"/>
    <x v="121"/>
    <x v="3"/>
  </r>
  <r>
    <x v="14"/>
    <x v="5"/>
    <n v="300151.5"/>
    <n v="29368771.617449999"/>
    <n v="10"/>
    <n v="745"/>
    <n v="654"/>
    <x v="122"/>
    <x v="3"/>
  </r>
  <r>
    <x v="15"/>
    <x v="5"/>
    <n v="262734"/>
    <n v="27278441.145"/>
    <n v="10"/>
    <n v="511"/>
    <n v="437"/>
    <x v="123"/>
    <x v="4"/>
  </r>
  <r>
    <x v="16"/>
    <x v="5"/>
    <n v="286002"/>
    <n v="29159032.5"/>
    <n v="10"/>
    <n v="580"/>
    <n v="506"/>
    <x v="124"/>
    <x v="5"/>
  </r>
  <r>
    <x v="17"/>
    <x v="5"/>
    <n v="258459"/>
    <n v="26467453.5"/>
    <n v="10"/>
    <n v="612"/>
    <n v="530"/>
    <x v="125"/>
    <x v="2"/>
  </r>
  <r>
    <x v="18"/>
    <x v="5"/>
    <n v="274083"/>
    <n v="28427001"/>
    <n v="10"/>
    <n v="402"/>
    <n v="333"/>
    <x v="126"/>
    <x v="4"/>
  </r>
  <r>
    <x v="19"/>
    <x v="5"/>
    <n v="277512"/>
    <n v="28770810.105599999"/>
    <n v="10"/>
    <n v="465"/>
    <n v="390"/>
    <x v="127"/>
    <x v="4"/>
  </r>
  <r>
    <x v="20"/>
    <x v="5"/>
    <n v="356982"/>
    <n v="35103926.711549997"/>
    <n v="10"/>
    <n v="828"/>
    <n v="734"/>
    <x v="128"/>
    <x v="3"/>
  </r>
  <r>
    <x v="21"/>
    <x v="5"/>
    <n v="266983.5"/>
    <n v="27165913.5"/>
    <n v="10"/>
    <n v="739"/>
    <n v="642"/>
    <x v="129"/>
    <x v="1"/>
  </r>
  <r>
    <x v="22"/>
    <x v="5"/>
    <n v="311131.5"/>
    <n v="32418879"/>
    <n v="10"/>
    <n v="448"/>
    <n v="376"/>
    <x v="130"/>
    <x v="5"/>
  </r>
  <r>
    <x v="23"/>
    <x v="5"/>
    <n v="287206.5"/>
    <n v="29536176.10605"/>
    <n v="10"/>
    <n v="642"/>
    <n v="556"/>
    <x v="131"/>
    <x v="2"/>
  </r>
  <r>
    <x v="24"/>
    <x v="5"/>
    <n v="370092"/>
    <n v="38091556.5"/>
    <n v="10"/>
    <n v="638"/>
    <n v="547"/>
    <x v="132"/>
    <x v="4"/>
  </r>
  <r>
    <x v="25"/>
    <x v="5"/>
    <n v="247813.5"/>
    <n v="25325271"/>
    <n v="10"/>
    <n v="563"/>
    <n v="486"/>
    <x v="133"/>
    <x v="4"/>
  </r>
  <r>
    <x v="26"/>
    <x v="5"/>
    <n v="287740.5"/>
    <n v="28188534"/>
    <n v="10"/>
    <n v="639"/>
    <n v="557"/>
    <x v="134"/>
    <x v="1"/>
  </r>
  <r>
    <x v="3"/>
    <x v="6"/>
    <n v="408810"/>
    <n v="42323631"/>
    <n v="10"/>
    <n v="760"/>
    <n v="672"/>
    <x v="135"/>
    <x v="2"/>
  </r>
  <r>
    <x v="4"/>
    <x v="6"/>
    <n v="362536.5"/>
    <n v="37023243"/>
    <n v="10"/>
    <n v="649"/>
    <n v="568"/>
    <x v="136"/>
    <x v="3"/>
  </r>
  <r>
    <x v="5"/>
    <x v="6"/>
    <n v="357072"/>
    <n v="36834567"/>
    <n v="10"/>
    <n v="591"/>
    <n v="513"/>
    <x v="137"/>
    <x v="3"/>
  </r>
  <r>
    <x v="6"/>
    <x v="6"/>
    <n v="359214"/>
    <n v="38693427"/>
    <n v="10"/>
    <n v="644"/>
    <n v="559"/>
    <x v="138"/>
    <x v="4"/>
  </r>
  <r>
    <x v="7"/>
    <x v="6"/>
    <n v="360255"/>
    <n v="38406954"/>
    <n v="10"/>
    <n v="462"/>
    <n v="396"/>
    <x v="139"/>
    <x v="4"/>
  </r>
  <r>
    <x v="8"/>
    <x v="6"/>
    <n v="387220.5"/>
    <n v="41559384"/>
    <n v="10"/>
    <n v="502"/>
    <n v="433"/>
    <x v="140"/>
    <x v="5"/>
  </r>
  <r>
    <x v="9"/>
    <x v="6"/>
    <n v="296580"/>
    <n v="31843737"/>
    <n v="10"/>
    <n v="416"/>
    <n v="341"/>
    <x v="141"/>
    <x v="5"/>
  </r>
  <r>
    <x v="10"/>
    <x v="6"/>
    <n v="369861"/>
    <n v="38365960.5"/>
    <n v="7"/>
    <n v="577"/>
    <n v="389"/>
    <x v="142"/>
    <x v="1"/>
  </r>
  <r>
    <x v="11"/>
    <x v="6"/>
    <n v="372504"/>
    <n v="40077193.5"/>
    <n v="10"/>
    <n v="554"/>
    <n v="472"/>
    <x v="143"/>
    <x v="5"/>
  </r>
  <r>
    <x v="12"/>
    <x v="6"/>
    <n v="373392"/>
    <n v="39578577"/>
    <n v="10"/>
    <n v="526"/>
    <n v="448"/>
    <x v="144"/>
    <x v="2"/>
  </r>
  <r>
    <x v="13"/>
    <x v="6"/>
    <n v="378043.5"/>
    <n v="37902156.57"/>
    <n v="10"/>
    <n v="677"/>
    <n v="591"/>
    <x v="145"/>
    <x v="3"/>
  </r>
  <r>
    <x v="14"/>
    <x v="6"/>
    <n v="388668"/>
    <n v="39639309"/>
    <n v="10"/>
    <n v="745"/>
    <n v="654"/>
    <x v="146"/>
    <x v="3"/>
  </r>
  <r>
    <x v="15"/>
    <x v="6"/>
    <n v="333792"/>
    <n v="35671734"/>
    <n v="10"/>
    <n v="511"/>
    <n v="437"/>
    <x v="147"/>
    <x v="4"/>
  </r>
  <r>
    <x v="16"/>
    <x v="6"/>
    <n v="376060.5"/>
    <n v="39918028.5"/>
    <n v="10"/>
    <n v="580"/>
    <n v="506"/>
    <x v="148"/>
    <x v="5"/>
  </r>
  <r>
    <x v="17"/>
    <x v="6"/>
    <n v="350068.5"/>
    <n v="37197115.5"/>
    <n v="10"/>
    <n v="612"/>
    <n v="530"/>
    <x v="149"/>
    <x v="2"/>
  </r>
  <r>
    <x v="0"/>
    <x v="5"/>
    <n v="294337.5"/>
    <n v="29327766"/>
    <n v="6"/>
    <n v="261"/>
    <n v="188"/>
    <x v="150"/>
    <x v="0"/>
  </r>
  <r>
    <x v="18"/>
    <x v="6"/>
    <n v="342666"/>
    <n v="36631999.5"/>
    <n v="10"/>
    <n v="402"/>
    <n v="333"/>
    <x v="151"/>
    <x v="4"/>
  </r>
  <r>
    <x v="1"/>
    <x v="5"/>
    <n v="364882.5"/>
    <n v="35724493.5"/>
    <n v="7"/>
    <n v="532"/>
    <n v="449"/>
    <x v="152"/>
    <x v="1"/>
  </r>
  <r>
    <x v="19"/>
    <x v="6"/>
    <n v="355278"/>
    <n v="38092344"/>
    <n v="10"/>
    <n v="465"/>
    <n v="390"/>
    <x v="153"/>
    <x v="4"/>
  </r>
  <r>
    <x v="20"/>
    <x v="6"/>
    <n v="456885"/>
    <n v="46408080"/>
    <n v="10"/>
    <n v="828"/>
    <n v="734"/>
    <x v="154"/>
    <x v="3"/>
  </r>
  <r>
    <x v="2"/>
    <x v="5"/>
    <n v="278491.5"/>
    <n v="28151004.75"/>
    <n v="7"/>
    <n v="420"/>
    <n v="347"/>
    <x v="155"/>
    <x v="1"/>
  </r>
  <r>
    <x v="21"/>
    <x v="6"/>
    <n v="349734"/>
    <n v="36883428"/>
    <n v="10"/>
    <n v="739"/>
    <n v="642"/>
    <x v="156"/>
    <x v="1"/>
  </r>
  <r>
    <x v="22"/>
    <x v="6"/>
    <n v="401580"/>
    <n v="43028734.5"/>
    <n v="10"/>
    <n v="448"/>
    <n v="376"/>
    <x v="157"/>
    <x v="5"/>
  </r>
  <r>
    <x v="23"/>
    <x v="6"/>
    <n v="368649"/>
    <n v="39010875"/>
    <n v="10"/>
    <n v="642"/>
    <n v="556"/>
    <x v="158"/>
    <x v="2"/>
  </r>
  <r>
    <x v="24"/>
    <x v="6"/>
    <n v="463530"/>
    <n v="49123180.5"/>
    <n v="10"/>
    <n v="638"/>
    <n v="547"/>
    <x v="159"/>
    <x v="4"/>
  </r>
  <r>
    <x v="25"/>
    <x v="6"/>
    <n v="319110"/>
    <n v="33763989"/>
    <n v="10"/>
    <n v="563"/>
    <n v="486"/>
    <x v="160"/>
    <x v="4"/>
  </r>
  <r>
    <x v="26"/>
    <x v="6"/>
    <n v="375744"/>
    <n v="38191381.5"/>
    <n v="10"/>
    <n v="639"/>
    <n v="557"/>
    <x v="161"/>
    <x v="1"/>
  </r>
  <r>
    <x v="3"/>
    <x v="7"/>
    <n v="81331.5"/>
    <n v="6652179"/>
    <n v="10"/>
    <n v="760"/>
    <n v="672"/>
    <x v="162"/>
    <x v="2"/>
  </r>
  <r>
    <x v="4"/>
    <x v="7"/>
    <n v="75796.5"/>
    <n v="6173463"/>
    <n v="10"/>
    <n v="649"/>
    <n v="568"/>
    <x v="163"/>
    <x v="3"/>
  </r>
  <r>
    <x v="5"/>
    <x v="7"/>
    <n v="72861"/>
    <n v="5952802.5"/>
    <n v="10"/>
    <n v="591"/>
    <n v="513"/>
    <x v="164"/>
    <x v="3"/>
  </r>
  <r>
    <x v="6"/>
    <x v="7"/>
    <n v="83373"/>
    <n v="7253427"/>
    <n v="10"/>
    <n v="644"/>
    <n v="559"/>
    <x v="165"/>
    <x v="4"/>
  </r>
  <r>
    <x v="7"/>
    <x v="7"/>
    <n v="64108.5"/>
    <n v="5561452.5"/>
    <n v="10"/>
    <n v="462"/>
    <n v="396"/>
    <x v="166"/>
    <x v="4"/>
  </r>
  <r>
    <x v="8"/>
    <x v="7"/>
    <n v="74707.5"/>
    <n v="6454458"/>
    <n v="10"/>
    <n v="502"/>
    <n v="433"/>
    <x v="167"/>
    <x v="5"/>
  </r>
  <r>
    <x v="9"/>
    <x v="7"/>
    <n v="46216.5"/>
    <n v="4118251.5"/>
    <n v="10"/>
    <n v="416"/>
    <n v="341"/>
    <x v="168"/>
    <x v="5"/>
  </r>
  <r>
    <x v="10"/>
    <x v="7"/>
    <n v="67726.5"/>
    <n v="5864989.5"/>
    <n v="7"/>
    <n v="577"/>
    <n v="389"/>
    <x v="169"/>
    <x v="1"/>
  </r>
  <r>
    <x v="11"/>
    <x v="7"/>
    <n v="82228.5"/>
    <n v="7032225"/>
    <n v="10"/>
    <n v="554"/>
    <n v="472"/>
    <x v="170"/>
    <x v="5"/>
  </r>
  <r>
    <x v="12"/>
    <x v="7"/>
    <n v="64390.5"/>
    <n v="5523145.5"/>
    <n v="10"/>
    <n v="526"/>
    <n v="448"/>
    <x v="171"/>
    <x v="2"/>
  </r>
  <r>
    <x v="13"/>
    <x v="7"/>
    <n v="73126.5"/>
    <n v="5864085"/>
    <n v="10"/>
    <n v="677"/>
    <n v="591"/>
    <x v="172"/>
    <x v="3"/>
  </r>
  <r>
    <x v="14"/>
    <x v="7"/>
    <n v="99631.5"/>
    <n v="7121946"/>
    <n v="10"/>
    <n v="745"/>
    <n v="654"/>
    <x v="173"/>
    <x v="3"/>
  </r>
  <r>
    <x v="15"/>
    <x v="7"/>
    <n v="66396"/>
    <n v="5770539"/>
    <n v="10"/>
    <n v="511"/>
    <n v="437"/>
    <x v="174"/>
    <x v="4"/>
  </r>
  <r>
    <x v="16"/>
    <x v="7"/>
    <n v="73147.5"/>
    <n v="6288246"/>
    <n v="10"/>
    <n v="580"/>
    <n v="506"/>
    <x v="175"/>
    <x v="5"/>
  </r>
  <r>
    <x v="17"/>
    <x v="7"/>
    <n v="73062"/>
    <n v="6333828"/>
    <n v="10"/>
    <n v="612"/>
    <n v="530"/>
    <x v="176"/>
    <x v="2"/>
  </r>
  <r>
    <x v="0"/>
    <x v="6"/>
    <n v="379663.5"/>
    <n v="39380178"/>
    <n v="6"/>
    <n v="261"/>
    <n v="188"/>
    <x v="177"/>
    <x v="0"/>
  </r>
  <r>
    <x v="18"/>
    <x v="7"/>
    <n v="70581"/>
    <n v="6221320.5"/>
    <n v="10"/>
    <n v="402"/>
    <n v="333"/>
    <x v="178"/>
    <x v="4"/>
  </r>
  <r>
    <x v="1"/>
    <x v="6"/>
    <n v="453123"/>
    <n v="46370904"/>
    <n v="7"/>
    <n v="532"/>
    <n v="449"/>
    <x v="179"/>
    <x v="1"/>
  </r>
  <r>
    <x v="19"/>
    <x v="7"/>
    <n v="63012"/>
    <n v="5454121.5"/>
    <n v="10"/>
    <n v="465"/>
    <n v="390"/>
    <x v="180"/>
    <x v="4"/>
  </r>
  <r>
    <x v="20"/>
    <x v="7"/>
    <n v="89556"/>
    <n v="7173117"/>
    <n v="10"/>
    <n v="828"/>
    <n v="734"/>
    <x v="181"/>
    <x v="3"/>
  </r>
  <r>
    <x v="2"/>
    <x v="6"/>
    <n v="364638"/>
    <n v="37947688.5"/>
    <n v="7"/>
    <n v="420"/>
    <n v="347"/>
    <x v="182"/>
    <x v="1"/>
  </r>
  <r>
    <x v="21"/>
    <x v="7"/>
    <n v="66316.5"/>
    <n v="5704650"/>
    <n v="10"/>
    <n v="739"/>
    <n v="642"/>
    <x v="183"/>
    <x v="1"/>
  </r>
  <r>
    <x v="22"/>
    <x v="7"/>
    <n v="78235.5"/>
    <n v="6819594"/>
    <n v="10"/>
    <n v="448"/>
    <n v="376"/>
    <x v="184"/>
    <x v="5"/>
  </r>
  <r>
    <x v="23"/>
    <x v="7"/>
    <n v="88311"/>
    <n v="7726069.5"/>
    <n v="10"/>
    <n v="642"/>
    <n v="556"/>
    <x v="185"/>
    <x v="2"/>
  </r>
  <r>
    <x v="24"/>
    <x v="7"/>
    <n v="61804.5"/>
    <n v="5365708.5"/>
    <n v="10"/>
    <n v="638"/>
    <n v="547"/>
    <x v="186"/>
    <x v="4"/>
  </r>
  <r>
    <x v="25"/>
    <x v="7"/>
    <n v="71067"/>
    <n v="6175837.5"/>
    <n v="10"/>
    <n v="563"/>
    <n v="486"/>
    <x v="187"/>
    <x v="4"/>
  </r>
  <r>
    <x v="26"/>
    <x v="7"/>
    <n v="74649"/>
    <n v="6098236.5"/>
    <n v="10"/>
    <n v="639"/>
    <n v="557"/>
    <x v="188"/>
    <x v="1"/>
  </r>
  <r>
    <x v="3"/>
    <x v="8"/>
    <n v="44560.5"/>
    <n v="4025148"/>
    <n v="10"/>
    <n v="760"/>
    <n v="672"/>
    <x v="189"/>
    <x v="2"/>
  </r>
  <r>
    <x v="4"/>
    <x v="8"/>
    <n v="38250"/>
    <n v="3552937.5"/>
    <n v="10"/>
    <n v="649"/>
    <n v="568"/>
    <x v="190"/>
    <x v="3"/>
  </r>
  <r>
    <x v="5"/>
    <x v="8"/>
    <n v="34830"/>
    <n v="3191155.5"/>
    <n v="10"/>
    <n v="591"/>
    <n v="513"/>
    <x v="191"/>
    <x v="3"/>
  </r>
  <r>
    <x v="6"/>
    <x v="8"/>
    <n v="32239.5"/>
    <n v="3084892.5"/>
    <n v="10"/>
    <n v="644"/>
    <n v="559"/>
    <x v="192"/>
    <x v="4"/>
  </r>
  <r>
    <x v="7"/>
    <x v="8"/>
    <n v="30780"/>
    <n v="2817853.5"/>
    <n v="10"/>
    <n v="462"/>
    <n v="396"/>
    <x v="193"/>
    <x v="4"/>
  </r>
  <r>
    <x v="8"/>
    <x v="8"/>
    <n v="29142"/>
    <n v="2627595"/>
    <n v="10"/>
    <n v="502"/>
    <n v="433"/>
    <x v="194"/>
    <x v="5"/>
  </r>
  <r>
    <x v="9"/>
    <x v="8"/>
    <n v="26428.5"/>
    <n v="2470465.5"/>
    <n v="10"/>
    <n v="416"/>
    <n v="341"/>
    <x v="195"/>
    <x v="5"/>
  </r>
  <r>
    <x v="10"/>
    <x v="8"/>
    <n v="40744.5"/>
    <n v="3700311"/>
    <n v="7"/>
    <n v="577"/>
    <n v="389"/>
    <x v="196"/>
    <x v="1"/>
  </r>
  <r>
    <x v="11"/>
    <x v="8"/>
    <n v="46620"/>
    <n v="4293241.5"/>
    <n v="10"/>
    <n v="554"/>
    <n v="472"/>
    <x v="197"/>
    <x v="5"/>
  </r>
  <r>
    <x v="12"/>
    <x v="8"/>
    <n v="32419.5"/>
    <n v="3080614.5"/>
    <n v="10"/>
    <n v="526"/>
    <n v="448"/>
    <x v="198"/>
    <x v="2"/>
  </r>
  <r>
    <x v="13"/>
    <x v="8"/>
    <n v="40819.5"/>
    <n v="3810394.5"/>
    <n v="10"/>
    <n v="677"/>
    <n v="591"/>
    <x v="199"/>
    <x v="3"/>
  </r>
  <r>
    <x v="14"/>
    <x v="8"/>
    <n v="41391"/>
    <n v="3918987"/>
    <n v="10"/>
    <n v="745"/>
    <n v="654"/>
    <x v="200"/>
    <x v="3"/>
  </r>
  <r>
    <x v="15"/>
    <x v="8"/>
    <n v="29482.5"/>
    <n v="2648688"/>
    <n v="10"/>
    <n v="511"/>
    <n v="437"/>
    <x v="201"/>
    <x v="4"/>
  </r>
  <r>
    <x v="16"/>
    <x v="8"/>
    <n v="32181"/>
    <n v="2863600.5"/>
    <n v="10"/>
    <n v="580"/>
    <n v="506"/>
    <x v="202"/>
    <x v="5"/>
  </r>
  <r>
    <x v="17"/>
    <x v="8"/>
    <n v="35535"/>
    <n v="3288069"/>
    <n v="10"/>
    <n v="612"/>
    <n v="530"/>
    <x v="203"/>
    <x v="2"/>
  </r>
  <r>
    <x v="0"/>
    <x v="7"/>
    <n v="76234.5"/>
    <n v="6500848.5"/>
    <n v="6"/>
    <n v="261"/>
    <n v="188"/>
    <x v="204"/>
    <x v="0"/>
  </r>
  <r>
    <x v="18"/>
    <x v="8"/>
    <n v="29935.5"/>
    <n v="2720002.5"/>
    <n v="10"/>
    <n v="402"/>
    <n v="333"/>
    <x v="205"/>
    <x v="4"/>
  </r>
  <r>
    <x v="1"/>
    <x v="7"/>
    <n v="106926"/>
    <n v="9098386.5"/>
    <n v="7"/>
    <n v="532"/>
    <n v="449"/>
    <x v="206"/>
    <x v="1"/>
  </r>
  <r>
    <x v="19"/>
    <x v="8"/>
    <n v="30342"/>
    <n v="2738127"/>
    <n v="10"/>
    <n v="465"/>
    <n v="390"/>
    <x v="207"/>
    <x v="4"/>
  </r>
  <r>
    <x v="20"/>
    <x v="8"/>
    <n v="42999"/>
    <n v="3883215"/>
    <n v="10"/>
    <n v="828"/>
    <n v="734"/>
    <x v="208"/>
    <x v="3"/>
  </r>
  <r>
    <x v="2"/>
    <x v="7"/>
    <n v="69945"/>
    <n v="6101931"/>
    <n v="7"/>
    <n v="420"/>
    <n v="347"/>
    <x v="209"/>
    <x v="1"/>
  </r>
  <r>
    <x v="21"/>
    <x v="8"/>
    <n v="38740.5"/>
    <n v="3561655.5"/>
    <n v="10"/>
    <n v="739"/>
    <n v="642"/>
    <x v="210"/>
    <x v="1"/>
  </r>
  <r>
    <x v="22"/>
    <x v="8"/>
    <n v="31231.5"/>
    <n v="2853310.5"/>
    <n v="10"/>
    <n v="448"/>
    <n v="376"/>
    <x v="211"/>
    <x v="5"/>
  </r>
  <r>
    <x v="23"/>
    <x v="8"/>
    <n v="37489.5"/>
    <n v="3549097.5"/>
    <n v="10"/>
    <n v="642"/>
    <n v="556"/>
    <x v="212"/>
    <x v="2"/>
  </r>
  <r>
    <x v="24"/>
    <x v="8"/>
    <n v="34399.5"/>
    <n v="3201358.5"/>
    <n v="10"/>
    <n v="638"/>
    <n v="547"/>
    <x v="213"/>
    <x v="4"/>
  </r>
  <r>
    <x v="25"/>
    <x v="8"/>
    <n v="32851.5"/>
    <n v="2934504"/>
    <n v="10"/>
    <n v="563"/>
    <n v="486"/>
    <x v="214"/>
    <x v="4"/>
  </r>
  <r>
    <x v="26"/>
    <x v="8"/>
    <n v="38194.5"/>
    <n v="3449302.5"/>
    <n v="10"/>
    <n v="639"/>
    <n v="557"/>
    <x v="215"/>
    <x v="1"/>
  </r>
  <r>
    <x v="0"/>
    <x v="8"/>
    <n v="42423"/>
    <n v="3994153.5"/>
    <n v="6"/>
    <n v="261"/>
    <n v="188"/>
    <x v="216"/>
    <x v="0"/>
  </r>
  <r>
    <x v="1"/>
    <x v="8"/>
    <n v="48286.5"/>
    <n v="4456441.5"/>
    <n v="7"/>
    <n v="532"/>
    <n v="449"/>
    <x v="217"/>
    <x v="1"/>
  </r>
  <r>
    <x v="2"/>
    <x v="8"/>
    <n v="41442"/>
    <n v="3893680.5"/>
    <n v="7"/>
    <n v="420"/>
    <n v="347"/>
    <x v="218"/>
    <x v="1"/>
  </r>
  <r>
    <x v="3"/>
    <x v="9"/>
    <n v="18600"/>
    <n v="1601425.5"/>
    <n v="10"/>
    <n v="760"/>
    <n v="672"/>
    <x v="219"/>
    <x v="2"/>
  </r>
  <r>
    <x v="4"/>
    <x v="9"/>
    <n v="16638"/>
    <n v="1364847"/>
    <n v="10"/>
    <n v="649"/>
    <n v="568"/>
    <x v="220"/>
    <x v="3"/>
  </r>
  <r>
    <x v="5"/>
    <x v="9"/>
    <n v="15609"/>
    <n v="1377577.5"/>
    <n v="10"/>
    <n v="591"/>
    <n v="513"/>
    <x v="221"/>
    <x v="3"/>
  </r>
  <r>
    <x v="6"/>
    <x v="9"/>
    <n v="13948.5"/>
    <n v="1222932"/>
    <n v="10"/>
    <n v="644"/>
    <n v="559"/>
    <x v="222"/>
    <x v="4"/>
  </r>
  <r>
    <x v="7"/>
    <x v="9"/>
    <n v="12301.5"/>
    <n v="1085211"/>
    <n v="10"/>
    <n v="462"/>
    <n v="396"/>
    <x v="223"/>
    <x v="4"/>
  </r>
  <r>
    <x v="8"/>
    <x v="9"/>
    <n v="13014"/>
    <n v="1115992.5"/>
    <n v="10"/>
    <n v="502"/>
    <n v="433"/>
    <x v="224"/>
    <x v="5"/>
  </r>
  <r>
    <x v="9"/>
    <x v="9"/>
    <n v="12313.5"/>
    <n v="1053220.5"/>
    <n v="10"/>
    <n v="416"/>
    <n v="341"/>
    <x v="225"/>
    <x v="5"/>
  </r>
  <r>
    <x v="10"/>
    <x v="9"/>
    <n v="17391"/>
    <n v="1489132.5"/>
    <n v="7"/>
    <n v="577"/>
    <n v="389"/>
    <x v="226"/>
    <x v="1"/>
  </r>
  <r>
    <x v="11"/>
    <x v="9"/>
    <n v="17113.5"/>
    <n v="1465842"/>
    <n v="10"/>
    <n v="554"/>
    <n v="472"/>
    <x v="227"/>
    <x v="5"/>
  </r>
  <r>
    <x v="12"/>
    <x v="9"/>
    <n v="12802.5"/>
    <n v="1123830"/>
    <n v="10"/>
    <n v="526"/>
    <n v="448"/>
    <x v="228"/>
    <x v="2"/>
  </r>
  <r>
    <x v="13"/>
    <x v="9"/>
    <n v="16554"/>
    <n v="1380751.5"/>
    <n v="10"/>
    <n v="677"/>
    <n v="591"/>
    <x v="229"/>
    <x v="3"/>
  </r>
  <r>
    <x v="14"/>
    <x v="9"/>
    <n v="17329.5"/>
    <n v="1430254.5"/>
    <n v="10"/>
    <n v="745"/>
    <n v="654"/>
    <x v="230"/>
    <x v="3"/>
  </r>
  <r>
    <x v="15"/>
    <x v="9"/>
    <n v="15987"/>
    <n v="1384179"/>
    <n v="10"/>
    <n v="511"/>
    <n v="437"/>
    <x v="231"/>
    <x v="4"/>
  </r>
  <r>
    <x v="16"/>
    <x v="9"/>
    <n v="13303.5"/>
    <n v="1102887"/>
    <n v="10"/>
    <n v="580"/>
    <n v="506"/>
    <x v="232"/>
    <x v="5"/>
  </r>
  <r>
    <x v="17"/>
    <x v="9"/>
    <n v="14305.5"/>
    <n v="1243507.5"/>
    <n v="10"/>
    <n v="612"/>
    <n v="530"/>
    <x v="233"/>
    <x v="2"/>
  </r>
  <r>
    <x v="18"/>
    <x v="9"/>
    <n v="12924"/>
    <n v="1120009.5"/>
    <n v="10"/>
    <n v="402"/>
    <n v="333"/>
    <x v="234"/>
    <x v="4"/>
  </r>
  <r>
    <x v="19"/>
    <x v="9"/>
    <n v="14061"/>
    <n v="1221057"/>
    <n v="10"/>
    <n v="465"/>
    <n v="390"/>
    <x v="235"/>
    <x v="4"/>
  </r>
  <r>
    <x v="20"/>
    <x v="9"/>
    <n v="21958.5"/>
    <n v="1854001.5"/>
    <n v="10"/>
    <n v="828"/>
    <n v="734"/>
    <x v="236"/>
    <x v="3"/>
  </r>
  <r>
    <x v="21"/>
    <x v="9"/>
    <n v="17211"/>
    <n v="1507867.5"/>
    <n v="10"/>
    <n v="739"/>
    <n v="642"/>
    <x v="237"/>
    <x v="1"/>
  </r>
  <r>
    <x v="22"/>
    <x v="9"/>
    <n v="12753"/>
    <n v="1103068.5"/>
    <n v="10"/>
    <n v="448"/>
    <n v="376"/>
    <x v="238"/>
    <x v="5"/>
  </r>
  <r>
    <x v="23"/>
    <x v="9"/>
    <n v="16435.5"/>
    <n v="1471537.5"/>
    <n v="10"/>
    <n v="642"/>
    <n v="556"/>
    <x v="239"/>
    <x v="2"/>
  </r>
  <r>
    <x v="24"/>
    <x v="9"/>
    <n v="14494.5"/>
    <n v="1269786"/>
    <n v="10"/>
    <n v="638"/>
    <n v="547"/>
    <x v="240"/>
    <x v="4"/>
  </r>
  <r>
    <x v="25"/>
    <x v="9"/>
    <n v="12705"/>
    <n v="1123894.5"/>
    <n v="10"/>
    <n v="563"/>
    <n v="486"/>
    <x v="241"/>
    <x v="4"/>
  </r>
  <r>
    <x v="26"/>
    <x v="9"/>
    <n v="18075"/>
    <n v="1548099"/>
    <n v="10"/>
    <n v="639"/>
    <n v="557"/>
    <x v="242"/>
    <x v="1"/>
  </r>
  <r>
    <x v="3"/>
    <x v="10"/>
    <n v="13120.5"/>
    <n v="1215033"/>
    <n v="10"/>
    <n v="760"/>
    <n v="672"/>
    <x v="243"/>
    <x v="2"/>
  </r>
  <r>
    <x v="4"/>
    <x v="10"/>
    <n v="16237.5"/>
    <n v="1403047.5"/>
    <n v="10"/>
    <n v="649"/>
    <n v="568"/>
    <x v="244"/>
    <x v="3"/>
  </r>
  <r>
    <x v="5"/>
    <x v="10"/>
    <n v="11967"/>
    <n v="1060489.5"/>
    <n v="10"/>
    <n v="591"/>
    <n v="513"/>
    <x v="245"/>
    <x v="3"/>
  </r>
  <r>
    <x v="6"/>
    <x v="10"/>
    <n v="12037.5"/>
    <n v="1081216.5"/>
    <n v="10"/>
    <n v="644"/>
    <n v="559"/>
    <x v="246"/>
    <x v="4"/>
  </r>
  <r>
    <x v="7"/>
    <x v="10"/>
    <n v="7087.5"/>
    <n v="610855.5"/>
    <n v="10"/>
    <n v="462"/>
    <n v="396"/>
    <x v="247"/>
    <x v="4"/>
  </r>
  <r>
    <x v="8"/>
    <x v="11"/>
    <n v="25816.5"/>
    <n v="2360914.5"/>
    <n v="10"/>
    <n v="502"/>
    <n v="433"/>
    <x v="248"/>
    <x v="5"/>
  </r>
  <r>
    <x v="9"/>
    <x v="10"/>
    <n v="4624.5"/>
    <n v="433243.5"/>
    <n v="10"/>
    <n v="416"/>
    <n v="341"/>
    <x v="249"/>
    <x v="5"/>
  </r>
  <r>
    <x v="10"/>
    <x v="10"/>
    <n v="12259.5"/>
    <n v="1152054"/>
    <n v="7"/>
    <n v="577"/>
    <n v="389"/>
    <x v="250"/>
    <x v="1"/>
  </r>
  <r>
    <x v="11"/>
    <x v="10"/>
    <n v="5446.5"/>
    <n v="505572"/>
    <n v="10"/>
    <n v="554"/>
    <n v="472"/>
    <x v="251"/>
    <x v="5"/>
  </r>
  <r>
    <x v="12"/>
    <x v="10"/>
    <n v="11296.5"/>
    <n v="989632.5"/>
    <n v="10"/>
    <n v="526"/>
    <n v="448"/>
    <x v="252"/>
    <x v="2"/>
  </r>
  <r>
    <x v="13"/>
    <x v="10"/>
    <n v="12135"/>
    <n v="1103623.5"/>
    <n v="10"/>
    <n v="677"/>
    <n v="591"/>
    <x v="253"/>
    <x v="3"/>
  </r>
  <r>
    <x v="14"/>
    <x v="10"/>
    <n v="12630"/>
    <n v="1104858"/>
    <n v="10"/>
    <n v="745"/>
    <n v="654"/>
    <x v="254"/>
    <x v="3"/>
  </r>
  <r>
    <x v="15"/>
    <x v="10"/>
    <n v="8223"/>
    <n v="694593"/>
    <n v="10"/>
    <n v="511"/>
    <n v="437"/>
    <x v="255"/>
    <x v="4"/>
  </r>
  <r>
    <x v="16"/>
    <x v="11"/>
    <n v="25149"/>
    <n v="2277072"/>
    <n v="10"/>
    <n v="580"/>
    <n v="506"/>
    <x v="256"/>
    <x v="5"/>
  </r>
  <r>
    <x v="17"/>
    <x v="10"/>
    <n v="10401"/>
    <n v="949912.5"/>
    <n v="10"/>
    <n v="612"/>
    <n v="530"/>
    <x v="257"/>
    <x v="2"/>
  </r>
  <r>
    <x v="0"/>
    <x v="9"/>
    <n v="17689.5"/>
    <n v="1592119.5"/>
    <n v="6"/>
    <n v="261"/>
    <n v="188"/>
    <x v="258"/>
    <x v="0"/>
  </r>
  <r>
    <x v="18"/>
    <x v="10"/>
    <n v="8127"/>
    <n v="665302.5"/>
    <n v="10"/>
    <n v="402"/>
    <n v="333"/>
    <x v="259"/>
    <x v="4"/>
  </r>
  <r>
    <x v="1"/>
    <x v="9"/>
    <n v="27250.5"/>
    <n v="2457252"/>
    <n v="7"/>
    <n v="532"/>
    <n v="449"/>
    <x v="260"/>
    <x v="1"/>
  </r>
  <r>
    <x v="19"/>
    <x v="10"/>
    <n v="8464.5"/>
    <n v="739291.5"/>
    <n v="10"/>
    <n v="465"/>
    <n v="390"/>
    <x v="261"/>
    <x v="4"/>
  </r>
  <r>
    <x v="20"/>
    <x v="10"/>
    <n v="14167.5"/>
    <n v="1315075.5"/>
    <n v="10"/>
    <n v="828"/>
    <n v="734"/>
    <x v="262"/>
    <x v="3"/>
  </r>
  <r>
    <x v="2"/>
    <x v="9"/>
    <n v="16500"/>
    <n v="1487928"/>
    <n v="7"/>
    <n v="420"/>
    <n v="347"/>
    <x v="263"/>
    <x v="1"/>
  </r>
  <r>
    <x v="21"/>
    <x v="10"/>
    <n v="13260"/>
    <n v="1230687"/>
    <n v="10"/>
    <n v="739"/>
    <n v="642"/>
    <x v="264"/>
    <x v="1"/>
  </r>
  <r>
    <x v="22"/>
    <x v="10"/>
    <n v="4285.5"/>
    <n v="404691"/>
    <n v="10"/>
    <n v="448"/>
    <n v="376"/>
    <x v="265"/>
    <x v="5"/>
  </r>
  <r>
    <x v="23"/>
    <x v="10"/>
    <n v="13440"/>
    <n v="1198285.5"/>
    <n v="10"/>
    <n v="642"/>
    <n v="556"/>
    <x v="266"/>
    <x v="2"/>
  </r>
  <r>
    <x v="24"/>
    <x v="10"/>
    <n v="9058.5"/>
    <n v="798759"/>
    <n v="10"/>
    <n v="638"/>
    <n v="547"/>
    <x v="267"/>
    <x v="4"/>
  </r>
  <r>
    <x v="25"/>
    <x v="10"/>
    <n v="8719.5"/>
    <n v="769276.5"/>
    <n v="10"/>
    <n v="563"/>
    <n v="486"/>
    <x v="268"/>
    <x v="4"/>
  </r>
  <r>
    <x v="26"/>
    <x v="10"/>
    <n v="12666"/>
    <n v="1184865"/>
    <n v="10"/>
    <n v="639"/>
    <n v="557"/>
    <x v="269"/>
    <x v="1"/>
  </r>
  <r>
    <x v="3"/>
    <x v="11"/>
    <n v="34563"/>
    <n v="2922883.5"/>
    <n v="10"/>
    <n v="760"/>
    <n v="672"/>
    <x v="270"/>
    <x v="2"/>
  </r>
  <r>
    <x v="4"/>
    <x v="11"/>
    <n v="28882.5"/>
    <n v="2446530"/>
    <n v="10"/>
    <n v="649"/>
    <n v="568"/>
    <x v="271"/>
    <x v="3"/>
  </r>
  <r>
    <x v="5"/>
    <x v="11"/>
    <n v="28275"/>
    <n v="2435632.5"/>
    <n v="10"/>
    <n v="591"/>
    <n v="513"/>
    <x v="272"/>
    <x v="3"/>
  </r>
  <r>
    <x v="6"/>
    <x v="11"/>
    <n v="26271"/>
    <n v="2384937"/>
    <n v="10"/>
    <n v="644"/>
    <n v="559"/>
    <x v="273"/>
    <x v="4"/>
  </r>
  <r>
    <x v="7"/>
    <x v="11"/>
    <n v="23587.5"/>
    <n v="2155668"/>
    <n v="10"/>
    <n v="462"/>
    <n v="396"/>
    <x v="274"/>
    <x v="4"/>
  </r>
  <r>
    <x v="9"/>
    <x v="11"/>
    <n v="18427.5"/>
    <n v="1682851.5"/>
    <n v="10"/>
    <n v="416"/>
    <n v="341"/>
    <x v="275"/>
    <x v="5"/>
  </r>
  <r>
    <x v="10"/>
    <x v="11"/>
    <n v="27156"/>
    <n v="2410803"/>
    <n v="7"/>
    <n v="577"/>
    <n v="389"/>
    <x v="276"/>
    <x v="1"/>
  </r>
  <r>
    <x v="11"/>
    <x v="11"/>
    <n v="35190"/>
    <n v="3168510"/>
    <n v="10"/>
    <n v="554"/>
    <n v="472"/>
    <x v="277"/>
    <x v="5"/>
  </r>
  <r>
    <x v="12"/>
    <x v="11"/>
    <n v="25483.5"/>
    <n v="2243160"/>
    <n v="10"/>
    <n v="526"/>
    <n v="448"/>
    <x v="278"/>
    <x v="2"/>
  </r>
  <r>
    <x v="13"/>
    <x v="11"/>
    <n v="25362"/>
    <n v="2198935.5"/>
    <n v="10"/>
    <n v="677"/>
    <n v="591"/>
    <x v="279"/>
    <x v="3"/>
  </r>
  <r>
    <x v="14"/>
    <x v="11"/>
    <n v="28849.5"/>
    <n v="2520759"/>
    <n v="10"/>
    <n v="745"/>
    <n v="654"/>
    <x v="280"/>
    <x v="3"/>
  </r>
  <r>
    <x v="15"/>
    <x v="11"/>
    <n v="26367"/>
    <n v="2380333.5"/>
    <n v="10"/>
    <n v="511"/>
    <n v="437"/>
    <x v="281"/>
    <x v="4"/>
  </r>
  <r>
    <x v="17"/>
    <x v="11"/>
    <n v="25539"/>
    <n v="2263651.5"/>
    <n v="10"/>
    <n v="612"/>
    <n v="530"/>
    <x v="282"/>
    <x v="2"/>
  </r>
  <r>
    <x v="0"/>
    <x v="10"/>
    <n v="14808"/>
    <n v="1336789.5"/>
    <n v="6"/>
    <n v="261"/>
    <n v="188"/>
    <x v="283"/>
    <x v="0"/>
  </r>
  <r>
    <x v="18"/>
    <x v="11"/>
    <n v="21343.5"/>
    <n v="1906557"/>
    <n v="10"/>
    <n v="402"/>
    <n v="333"/>
    <x v="284"/>
    <x v="4"/>
  </r>
  <r>
    <x v="1"/>
    <x v="10"/>
    <n v="17946"/>
    <n v="1609090.5"/>
    <n v="7"/>
    <n v="532"/>
    <n v="449"/>
    <x v="285"/>
    <x v="1"/>
  </r>
  <r>
    <x v="19"/>
    <x v="11"/>
    <n v="24337.5"/>
    <n v="2159350.5"/>
    <n v="10"/>
    <n v="465"/>
    <n v="390"/>
    <x v="286"/>
    <x v="4"/>
  </r>
  <r>
    <x v="20"/>
    <x v="11"/>
    <n v="36997.5"/>
    <n v="3089140.5"/>
    <n v="10"/>
    <n v="828"/>
    <n v="734"/>
    <x v="287"/>
    <x v="3"/>
  </r>
  <r>
    <x v="2"/>
    <x v="10"/>
    <n v="13864.5"/>
    <n v="1239747"/>
    <n v="7"/>
    <n v="420"/>
    <n v="347"/>
    <x v="288"/>
    <x v="1"/>
  </r>
  <r>
    <x v="21"/>
    <x v="11"/>
    <n v="28494"/>
    <n v="2512803"/>
    <n v="10"/>
    <n v="739"/>
    <n v="642"/>
    <x v="289"/>
    <x v="1"/>
  </r>
  <r>
    <x v="22"/>
    <x v="11"/>
    <n v="27883.5"/>
    <n v="2560080"/>
    <n v="10"/>
    <n v="448"/>
    <n v="376"/>
    <x v="290"/>
    <x v="5"/>
  </r>
  <r>
    <x v="23"/>
    <x v="11"/>
    <n v="31224"/>
    <n v="2767270.5"/>
    <n v="10"/>
    <n v="642"/>
    <n v="556"/>
    <x v="291"/>
    <x v="2"/>
  </r>
  <r>
    <x v="24"/>
    <x v="11"/>
    <n v="25020"/>
    <n v="2235960"/>
    <n v="10"/>
    <n v="638"/>
    <n v="547"/>
    <x v="292"/>
    <x v="4"/>
  </r>
  <r>
    <x v="25"/>
    <x v="11"/>
    <n v="26184"/>
    <n v="2308336.5"/>
    <n v="10"/>
    <n v="563"/>
    <n v="486"/>
    <x v="293"/>
    <x v="4"/>
  </r>
  <r>
    <x v="26"/>
    <x v="11"/>
    <n v="29824.5"/>
    <n v="2526909"/>
    <n v="10"/>
    <n v="639"/>
    <n v="557"/>
    <x v="294"/>
    <x v="1"/>
  </r>
  <r>
    <x v="8"/>
    <x v="12"/>
    <n v="208351.5"/>
    <n v="21615333"/>
    <n v="10"/>
    <n v="502"/>
    <n v="433"/>
    <x v="295"/>
    <x v="5"/>
  </r>
  <r>
    <x v="16"/>
    <x v="12"/>
    <n v="204637.5"/>
    <n v="21114898.5"/>
    <n v="10"/>
    <n v="580"/>
    <n v="506"/>
    <x v="296"/>
    <x v="5"/>
  </r>
  <r>
    <x v="0"/>
    <x v="11"/>
    <n v="31372.5"/>
    <n v="2794324.5"/>
    <n v="6"/>
    <n v="261"/>
    <n v="188"/>
    <x v="297"/>
    <x v="0"/>
  </r>
  <r>
    <x v="1"/>
    <x v="11"/>
    <n v="34681.5"/>
    <n v="3005334"/>
    <n v="7"/>
    <n v="532"/>
    <n v="449"/>
    <x v="298"/>
    <x v="1"/>
  </r>
  <r>
    <x v="2"/>
    <x v="11"/>
    <n v="28197"/>
    <n v="2559211.5"/>
    <n v="7"/>
    <n v="420"/>
    <n v="347"/>
    <x v="299"/>
    <x v="1"/>
  </r>
  <r>
    <x v="3"/>
    <x v="12"/>
    <n v="236551.5"/>
    <n v="23689383"/>
    <n v="10"/>
    <n v="760"/>
    <n v="672"/>
    <x v="300"/>
    <x v="2"/>
  </r>
  <r>
    <x v="4"/>
    <x v="12"/>
    <n v="223597.5"/>
    <n v="21945858"/>
    <n v="10"/>
    <n v="649"/>
    <n v="568"/>
    <x v="301"/>
    <x v="3"/>
  </r>
  <r>
    <x v="5"/>
    <x v="12"/>
    <n v="193363.5"/>
    <n v="19546386"/>
    <n v="10"/>
    <n v="591"/>
    <n v="513"/>
    <x v="302"/>
    <x v="3"/>
  </r>
  <r>
    <x v="6"/>
    <x v="12"/>
    <n v="188319"/>
    <n v="19218631.5"/>
    <n v="10"/>
    <n v="644"/>
    <n v="559"/>
    <x v="303"/>
    <x v="4"/>
  </r>
  <r>
    <x v="7"/>
    <x v="12"/>
    <n v="237544.5"/>
    <n v="24292218"/>
    <n v="10"/>
    <n v="462"/>
    <n v="396"/>
    <x v="304"/>
    <x v="4"/>
  </r>
  <r>
    <x v="8"/>
    <x v="13"/>
    <n v="203209.5"/>
    <n v="20871391.5"/>
    <n v="10"/>
    <n v="502"/>
    <n v="433"/>
    <x v="305"/>
    <x v="5"/>
  </r>
  <r>
    <x v="9"/>
    <x v="12"/>
    <n v="185979"/>
    <n v="19625364"/>
    <n v="10"/>
    <n v="416"/>
    <n v="341"/>
    <x v="306"/>
    <x v="5"/>
  </r>
  <r>
    <x v="10"/>
    <x v="12"/>
    <n v="244905"/>
    <n v="25163431.5"/>
    <n v="7"/>
    <n v="577"/>
    <n v="389"/>
    <x v="307"/>
    <x v="1"/>
  </r>
  <r>
    <x v="11"/>
    <x v="12"/>
    <n v="239409"/>
    <n v="25413351"/>
    <n v="10"/>
    <n v="554"/>
    <n v="472"/>
    <x v="308"/>
    <x v="5"/>
  </r>
  <r>
    <x v="12"/>
    <x v="12"/>
    <n v="192886.5"/>
    <n v="19205179.5"/>
    <n v="10"/>
    <n v="526"/>
    <n v="448"/>
    <x v="309"/>
    <x v="2"/>
  </r>
  <r>
    <x v="13"/>
    <x v="12"/>
    <n v="224233.5"/>
    <n v="22253295"/>
    <n v="10"/>
    <n v="677"/>
    <n v="591"/>
    <x v="310"/>
    <x v="3"/>
  </r>
  <r>
    <x v="14"/>
    <x v="12"/>
    <n v="219622.5"/>
    <n v="21959286"/>
    <n v="10"/>
    <n v="745"/>
    <n v="654"/>
    <x v="311"/>
    <x v="3"/>
  </r>
  <r>
    <x v="15"/>
    <x v="12"/>
    <n v="213582"/>
    <n v="21919435.5"/>
    <n v="10"/>
    <n v="511"/>
    <n v="437"/>
    <x v="312"/>
    <x v="4"/>
  </r>
  <r>
    <x v="16"/>
    <x v="13"/>
    <n v="195705"/>
    <n v="20003263.5"/>
    <n v="10"/>
    <n v="580"/>
    <n v="506"/>
    <x v="313"/>
    <x v="5"/>
  </r>
  <r>
    <x v="17"/>
    <x v="12"/>
    <n v="193722"/>
    <n v="19437273"/>
    <n v="10"/>
    <n v="612"/>
    <n v="530"/>
    <x v="314"/>
    <x v="2"/>
  </r>
  <r>
    <x v="18"/>
    <x v="12"/>
    <n v="257215.5"/>
    <n v="26492278.5"/>
    <n v="10"/>
    <n v="402"/>
    <n v="333"/>
    <x v="315"/>
    <x v="4"/>
  </r>
  <r>
    <x v="19"/>
    <x v="12"/>
    <n v="224779.5"/>
    <n v="23032992"/>
    <n v="10"/>
    <n v="465"/>
    <n v="390"/>
    <x v="316"/>
    <x v="4"/>
  </r>
  <r>
    <x v="20"/>
    <x v="12"/>
    <n v="292018.5"/>
    <n v="28590910.5"/>
    <n v="10"/>
    <n v="828"/>
    <n v="734"/>
    <x v="317"/>
    <x v="3"/>
  </r>
  <r>
    <x v="21"/>
    <x v="12"/>
    <n v="198751.5"/>
    <n v="20582743.5"/>
    <n v="10"/>
    <n v="739"/>
    <n v="642"/>
    <x v="318"/>
    <x v="1"/>
  </r>
  <r>
    <x v="22"/>
    <x v="12"/>
    <n v="214386"/>
    <n v="22530000"/>
    <n v="10"/>
    <n v="448"/>
    <n v="376"/>
    <x v="319"/>
    <x v="5"/>
  </r>
  <r>
    <x v="23"/>
    <x v="12"/>
    <n v="243825"/>
    <n v="24890404.5"/>
    <n v="10"/>
    <n v="642"/>
    <n v="556"/>
    <x v="320"/>
    <x v="2"/>
  </r>
  <r>
    <x v="24"/>
    <x v="12"/>
    <n v="232701"/>
    <n v="23881948.5"/>
    <n v="10"/>
    <n v="638"/>
    <n v="547"/>
    <x v="321"/>
    <x v="4"/>
  </r>
  <r>
    <x v="25"/>
    <x v="12"/>
    <n v="219411"/>
    <n v="22460130"/>
    <n v="10"/>
    <n v="563"/>
    <n v="486"/>
    <x v="322"/>
    <x v="4"/>
  </r>
  <r>
    <x v="26"/>
    <x v="12"/>
    <n v="200029.5"/>
    <n v="19959801"/>
    <n v="10"/>
    <n v="639"/>
    <n v="557"/>
    <x v="323"/>
    <x v="1"/>
  </r>
  <r>
    <x v="3"/>
    <x v="13"/>
    <n v="225480"/>
    <n v="22355338.5"/>
    <n v="10"/>
    <n v="760"/>
    <n v="672"/>
    <x v="324"/>
    <x v="2"/>
  </r>
  <r>
    <x v="4"/>
    <x v="13"/>
    <n v="211453.5"/>
    <n v="20590072.5"/>
    <n v="10"/>
    <n v="649"/>
    <n v="568"/>
    <x v="325"/>
    <x v="3"/>
  </r>
  <r>
    <x v="5"/>
    <x v="13"/>
    <n v="184801.5"/>
    <n v="18449091"/>
    <n v="10"/>
    <n v="591"/>
    <n v="513"/>
    <x v="326"/>
    <x v="3"/>
  </r>
  <r>
    <x v="6"/>
    <x v="13"/>
    <n v="177976.5"/>
    <n v="18085798.5"/>
    <n v="10"/>
    <n v="644"/>
    <n v="559"/>
    <x v="327"/>
    <x v="4"/>
  </r>
  <r>
    <x v="7"/>
    <x v="13"/>
    <n v="223617"/>
    <n v="22796827.5"/>
    <n v="10"/>
    <n v="462"/>
    <n v="396"/>
    <x v="328"/>
    <x v="4"/>
  </r>
  <r>
    <x v="9"/>
    <x v="13"/>
    <n v="176397"/>
    <n v="18625921.5"/>
    <n v="10"/>
    <n v="416"/>
    <n v="341"/>
    <x v="329"/>
    <x v="5"/>
  </r>
  <r>
    <x v="10"/>
    <x v="13"/>
    <n v="232369.5"/>
    <n v="23856345"/>
    <n v="7"/>
    <n v="577"/>
    <n v="389"/>
    <x v="330"/>
    <x v="1"/>
  </r>
  <r>
    <x v="11"/>
    <x v="13"/>
    <n v="226540.5"/>
    <n v="23953536"/>
    <n v="10"/>
    <n v="554"/>
    <n v="472"/>
    <x v="331"/>
    <x v="5"/>
  </r>
  <r>
    <x v="12"/>
    <x v="13"/>
    <n v="189679.5"/>
    <n v="18718036.5"/>
    <n v="10"/>
    <n v="526"/>
    <n v="448"/>
    <x v="332"/>
    <x v="2"/>
  </r>
  <r>
    <x v="13"/>
    <x v="13"/>
    <n v="213640.5"/>
    <n v="21042673.5"/>
    <n v="10"/>
    <n v="677"/>
    <n v="591"/>
    <x v="333"/>
    <x v="3"/>
  </r>
  <r>
    <x v="14"/>
    <x v="13"/>
    <n v="214885.5"/>
    <n v="21411349.5"/>
    <n v="10"/>
    <n v="745"/>
    <n v="654"/>
    <x v="334"/>
    <x v="3"/>
  </r>
  <r>
    <x v="15"/>
    <x v="13"/>
    <n v="203832"/>
    <n v="20880142.5"/>
    <n v="10"/>
    <n v="511"/>
    <n v="437"/>
    <x v="335"/>
    <x v="4"/>
  </r>
  <r>
    <x v="17"/>
    <x v="13"/>
    <n v="188662.5"/>
    <n v="18784000.5"/>
    <n v="10"/>
    <n v="612"/>
    <n v="530"/>
    <x v="336"/>
    <x v="2"/>
  </r>
  <r>
    <x v="0"/>
    <x v="12"/>
    <n v="215277"/>
    <n v="21585316.5"/>
    <n v="6"/>
    <n v="261"/>
    <n v="188"/>
    <x v="337"/>
    <x v="0"/>
  </r>
  <r>
    <x v="18"/>
    <x v="13"/>
    <n v="248148"/>
    <n v="25519072.5"/>
    <n v="10"/>
    <n v="402"/>
    <n v="333"/>
    <x v="338"/>
    <x v="4"/>
  </r>
  <r>
    <x v="1"/>
    <x v="12"/>
    <n v="246414"/>
    <n v="24527245.5"/>
    <n v="7"/>
    <n v="532"/>
    <n v="449"/>
    <x v="339"/>
    <x v="1"/>
  </r>
  <r>
    <x v="19"/>
    <x v="13"/>
    <n v="216498"/>
    <n v="22126444.5"/>
    <n v="10"/>
    <n v="465"/>
    <n v="390"/>
    <x v="340"/>
    <x v="4"/>
  </r>
  <r>
    <x v="20"/>
    <x v="13"/>
    <n v="275793"/>
    <n v="26806626"/>
    <n v="10"/>
    <n v="828"/>
    <n v="734"/>
    <x v="341"/>
    <x v="3"/>
  </r>
  <r>
    <x v="2"/>
    <x v="12"/>
    <n v="199753.5"/>
    <n v="20535733.5"/>
    <n v="7"/>
    <n v="420"/>
    <n v="347"/>
    <x v="342"/>
    <x v="1"/>
  </r>
  <r>
    <x v="21"/>
    <x v="13"/>
    <n v="192948"/>
    <n v="19806927"/>
    <n v="10"/>
    <n v="739"/>
    <n v="642"/>
    <x v="343"/>
    <x v="1"/>
  </r>
  <r>
    <x v="22"/>
    <x v="13"/>
    <n v="206038.5"/>
    <n v="21740460"/>
    <n v="10"/>
    <n v="448"/>
    <n v="376"/>
    <x v="344"/>
    <x v="5"/>
  </r>
  <r>
    <x v="23"/>
    <x v="13"/>
    <n v="231559.5"/>
    <n v="23443725"/>
    <n v="10"/>
    <n v="642"/>
    <n v="556"/>
    <x v="345"/>
    <x v="2"/>
  </r>
  <r>
    <x v="24"/>
    <x v="13"/>
    <n v="225076.5"/>
    <n v="22846078.5"/>
    <n v="10"/>
    <n v="638"/>
    <n v="547"/>
    <x v="346"/>
    <x v="4"/>
  </r>
  <r>
    <x v="25"/>
    <x v="13"/>
    <n v="209415"/>
    <n v="21463023"/>
    <n v="10"/>
    <n v="563"/>
    <n v="486"/>
    <x v="347"/>
    <x v="4"/>
  </r>
  <r>
    <x v="26"/>
    <x v="13"/>
    <n v="193719"/>
    <n v="19071117"/>
    <n v="10"/>
    <n v="639"/>
    <n v="557"/>
    <x v="348"/>
    <x v="1"/>
  </r>
  <r>
    <x v="8"/>
    <x v="14"/>
    <n v="12250.5"/>
    <n v="981519"/>
    <n v="10"/>
    <n v="502"/>
    <n v="433"/>
    <x v="349"/>
    <x v="5"/>
  </r>
  <r>
    <x v="16"/>
    <x v="14"/>
    <n v="12541.5"/>
    <n v="992541"/>
    <n v="10"/>
    <n v="580"/>
    <n v="506"/>
    <x v="350"/>
    <x v="5"/>
  </r>
  <r>
    <x v="0"/>
    <x v="13"/>
    <n v="206758.5"/>
    <n v="20717248.5"/>
    <n v="6"/>
    <n v="261"/>
    <n v="188"/>
    <x v="351"/>
    <x v="0"/>
  </r>
  <r>
    <x v="1"/>
    <x v="13"/>
    <n v="244734"/>
    <n v="24151980"/>
    <n v="7"/>
    <n v="532"/>
    <n v="449"/>
    <x v="352"/>
    <x v="1"/>
  </r>
  <r>
    <x v="2"/>
    <x v="13"/>
    <n v="191641.5"/>
    <n v="19549036.5"/>
    <n v="7"/>
    <n v="420"/>
    <n v="347"/>
    <x v="353"/>
    <x v="1"/>
  </r>
  <r>
    <x v="3"/>
    <x v="14"/>
    <n v="16368"/>
    <n v="1316350.5"/>
    <n v="10"/>
    <n v="760"/>
    <n v="672"/>
    <x v="354"/>
    <x v="2"/>
  </r>
  <r>
    <x v="4"/>
    <x v="14"/>
    <n v="14427"/>
    <n v="1126810.5"/>
    <n v="10"/>
    <n v="649"/>
    <n v="568"/>
    <x v="355"/>
    <x v="3"/>
  </r>
  <r>
    <x v="5"/>
    <x v="14"/>
    <n v="13440"/>
    <n v="1157529"/>
    <n v="10"/>
    <n v="591"/>
    <n v="513"/>
    <x v="356"/>
    <x v="3"/>
  </r>
  <r>
    <x v="6"/>
    <x v="14"/>
    <n v="11745"/>
    <n v="955801.5"/>
    <n v="10"/>
    <n v="644"/>
    <n v="559"/>
    <x v="357"/>
    <x v="4"/>
  </r>
  <r>
    <x v="7"/>
    <x v="14"/>
    <n v="11062.5"/>
    <n v="906343.5"/>
    <n v="10"/>
    <n v="462"/>
    <n v="396"/>
    <x v="358"/>
    <x v="4"/>
  </r>
  <r>
    <x v="9"/>
    <x v="14"/>
    <n v="10018.5"/>
    <n v="816859.5"/>
    <n v="10"/>
    <n v="416"/>
    <n v="341"/>
    <x v="359"/>
    <x v="5"/>
  </r>
  <r>
    <x v="10"/>
    <x v="15"/>
    <n v="10437"/>
    <n v="833815.5"/>
    <n v="7"/>
    <n v="577"/>
    <n v="389"/>
    <x v="360"/>
    <x v="1"/>
  </r>
  <r>
    <x v="11"/>
    <x v="14"/>
    <n v="13644"/>
    <n v="1134444"/>
    <n v="10"/>
    <n v="554"/>
    <n v="472"/>
    <x v="361"/>
    <x v="5"/>
  </r>
  <r>
    <x v="12"/>
    <x v="14"/>
    <n v="13443"/>
    <n v="1092277.5"/>
    <n v="10"/>
    <n v="526"/>
    <n v="448"/>
    <x v="362"/>
    <x v="2"/>
  </r>
  <r>
    <x v="13"/>
    <x v="14"/>
    <n v="14182.5"/>
    <n v="1172574"/>
    <n v="10"/>
    <n v="677"/>
    <n v="591"/>
    <x v="363"/>
    <x v="3"/>
  </r>
  <r>
    <x v="14"/>
    <x v="14"/>
    <n v="14928"/>
    <n v="1217749.5"/>
    <n v="10"/>
    <n v="745"/>
    <n v="654"/>
    <x v="364"/>
    <x v="3"/>
  </r>
  <r>
    <x v="15"/>
    <x v="14"/>
    <n v="13941"/>
    <n v="1145575.5"/>
    <n v="10"/>
    <n v="511"/>
    <n v="437"/>
    <x v="365"/>
    <x v="4"/>
  </r>
  <r>
    <x v="17"/>
    <x v="14"/>
    <n v="14643"/>
    <n v="1172691"/>
    <n v="10"/>
    <n v="612"/>
    <n v="530"/>
    <x v="366"/>
    <x v="2"/>
  </r>
  <r>
    <x v="18"/>
    <x v="14"/>
    <n v="10032"/>
    <n v="816150"/>
    <n v="10"/>
    <n v="402"/>
    <n v="333"/>
    <x v="367"/>
    <x v="4"/>
  </r>
  <r>
    <x v="19"/>
    <x v="14"/>
    <n v="12468"/>
    <n v="1016566.5"/>
    <n v="10"/>
    <n v="465"/>
    <n v="390"/>
    <x v="368"/>
    <x v="4"/>
  </r>
  <r>
    <x v="20"/>
    <x v="14"/>
    <n v="17943"/>
    <n v="1457391"/>
    <n v="10"/>
    <n v="828"/>
    <n v="734"/>
    <x v="369"/>
    <x v="3"/>
  </r>
  <r>
    <x v="21"/>
    <x v="14"/>
    <n v="15807"/>
    <n v="1326705"/>
    <n v="10"/>
    <n v="739"/>
    <n v="642"/>
    <x v="370"/>
    <x v="1"/>
  </r>
  <r>
    <x v="22"/>
    <x v="14"/>
    <n v="11976"/>
    <n v="1004511"/>
    <n v="10"/>
    <n v="448"/>
    <n v="376"/>
    <x v="371"/>
    <x v="5"/>
  </r>
  <r>
    <x v="23"/>
    <x v="14"/>
    <n v="14566.5"/>
    <n v="1216557"/>
    <n v="10"/>
    <n v="642"/>
    <n v="556"/>
    <x v="372"/>
    <x v="2"/>
  </r>
  <r>
    <x v="24"/>
    <x v="14"/>
    <n v="12976.5"/>
    <n v="1046848.5"/>
    <n v="10"/>
    <n v="638"/>
    <n v="547"/>
    <x v="373"/>
    <x v="4"/>
  </r>
  <r>
    <x v="25"/>
    <x v="14"/>
    <n v="11719.5"/>
    <n v="965880"/>
    <n v="10"/>
    <n v="563"/>
    <n v="486"/>
    <x v="374"/>
    <x v="4"/>
  </r>
  <r>
    <x v="26"/>
    <x v="14"/>
    <n v="17197.5"/>
    <n v="1386262.5"/>
    <n v="10"/>
    <n v="639"/>
    <n v="557"/>
    <x v="375"/>
    <x v="1"/>
  </r>
  <r>
    <x v="10"/>
    <x v="14"/>
    <n v="14419.5"/>
    <n v="1210456.5"/>
    <n v="7"/>
    <n v="577"/>
    <n v="389"/>
    <x v="376"/>
    <x v="1"/>
  </r>
  <r>
    <x v="27"/>
    <x v="0"/>
    <n v="7816.5"/>
    <n v="636345"/>
    <n v="6"/>
    <n v="237"/>
    <n v="175"/>
    <x v="377"/>
    <x v="0"/>
  </r>
  <r>
    <x v="0"/>
    <x v="16"/>
    <n v="6409.5"/>
    <n v="493893"/>
    <n v="6"/>
    <n v="261"/>
    <n v="188"/>
    <x v="378"/>
    <x v="0"/>
  </r>
  <r>
    <x v="1"/>
    <x v="15"/>
    <n v="11220"/>
    <n v="928675.5"/>
    <n v="7"/>
    <n v="532"/>
    <n v="449"/>
    <x v="379"/>
    <x v="1"/>
  </r>
  <r>
    <x v="28"/>
    <x v="0"/>
    <n v="8350.5"/>
    <n v="651237"/>
    <n v="7"/>
    <n v="491"/>
    <n v="411"/>
    <x v="380"/>
    <x v="1"/>
  </r>
  <r>
    <x v="2"/>
    <x v="15"/>
    <n v="8428.5"/>
    <n v="694669.5"/>
    <n v="7"/>
    <n v="420"/>
    <n v="347"/>
    <x v="381"/>
    <x v="1"/>
  </r>
  <r>
    <x v="29"/>
    <x v="1"/>
    <n v="32817"/>
    <n v="3015751.5"/>
    <n v="7"/>
    <n v="409"/>
    <n v="329"/>
    <x v="382"/>
    <x v="1"/>
  </r>
  <r>
    <x v="30"/>
    <x v="1"/>
    <n v="36031.5"/>
    <n v="3091069.5"/>
    <n v="10"/>
    <n v="965"/>
    <n v="861"/>
    <x v="383"/>
    <x v="3"/>
  </r>
  <r>
    <x v="0"/>
    <x v="17"/>
    <n v="5127"/>
    <n v="468835.5"/>
    <n v="6"/>
    <n v="261"/>
    <n v="188"/>
    <x v="384"/>
    <x v="0"/>
  </r>
  <r>
    <x v="31"/>
    <x v="1"/>
    <n v="27187.5"/>
    <n v="2479396.5"/>
    <n v="10"/>
    <n v="494"/>
    <n v="421"/>
    <x v="385"/>
    <x v="2"/>
  </r>
  <r>
    <x v="1"/>
    <x v="14"/>
    <n v="20688"/>
    <n v="1773154.5"/>
    <n v="7"/>
    <n v="532"/>
    <n v="449"/>
    <x v="386"/>
    <x v="1"/>
  </r>
  <r>
    <x v="2"/>
    <x v="14"/>
    <n v="15678"/>
    <n v="1387443"/>
    <n v="7"/>
    <n v="420"/>
    <n v="347"/>
    <x v="387"/>
    <x v="1"/>
  </r>
  <r>
    <x v="32"/>
    <x v="1"/>
    <n v="31329"/>
    <n v="2826379.5"/>
    <n v="10"/>
    <n v="645"/>
    <n v="565"/>
    <x v="388"/>
    <x v="3"/>
  </r>
  <r>
    <x v="33"/>
    <x v="1"/>
    <n v="29658"/>
    <n v="2703132"/>
    <n v="10"/>
    <n v="627"/>
    <n v="545"/>
    <x v="389"/>
    <x v="2"/>
  </r>
  <r>
    <x v="34"/>
    <x v="1"/>
    <n v="34150.5"/>
    <n v="3038293.5"/>
    <n v="10"/>
    <n v="743"/>
    <n v="652"/>
    <x v="390"/>
    <x v="2"/>
  </r>
  <r>
    <x v="27"/>
    <x v="1"/>
    <n v="31947"/>
    <n v="2945035.5"/>
    <n v="6"/>
    <n v="237"/>
    <n v="175"/>
    <x v="391"/>
    <x v="0"/>
  </r>
  <r>
    <x v="0"/>
    <x v="15"/>
    <n v="10416"/>
    <n v="866023.5"/>
    <n v="6"/>
    <n v="261"/>
    <n v="188"/>
    <x v="392"/>
    <x v="0"/>
  </r>
  <r>
    <x v="28"/>
    <x v="1"/>
    <n v="35431.5"/>
    <n v="3193167"/>
    <n v="7"/>
    <n v="491"/>
    <n v="411"/>
    <x v="393"/>
    <x v="1"/>
  </r>
  <r>
    <x v="29"/>
    <x v="2"/>
    <n v="78544.5"/>
    <n v="6701083.5"/>
    <n v="7"/>
    <n v="409"/>
    <n v="329"/>
    <x v="394"/>
    <x v="1"/>
  </r>
  <r>
    <x v="30"/>
    <x v="2"/>
    <n v="97963.5"/>
    <n v="7728465"/>
    <n v="10"/>
    <n v="965"/>
    <n v="861"/>
    <x v="395"/>
    <x v="3"/>
  </r>
  <r>
    <x v="27"/>
    <x v="2"/>
    <n v="77269.5"/>
    <n v="6829921.5"/>
    <n v="6"/>
    <n v="237"/>
    <n v="175"/>
    <x v="396"/>
    <x v="0"/>
  </r>
  <r>
    <x v="0"/>
    <x v="14"/>
    <n v="16143"/>
    <n v="1423410"/>
    <n v="6"/>
    <n v="261"/>
    <n v="188"/>
    <x v="397"/>
    <x v="0"/>
  </r>
  <r>
    <x v="31"/>
    <x v="2"/>
    <n v="72220.5"/>
    <n v="6398719.5"/>
    <n v="10"/>
    <n v="494"/>
    <n v="421"/>
    <x v="398"/>
    <x v="2"/>
  </r>
  <r>
    <x v="32"/>
    <x v="2"/>
    <n v="78058.5"/>
    <n v="6609714"/>
    <n v="10"/>
    <n v="645"/>
    <n v="565"/>
    <x v="399"/>
    <x v="3"/>
  </r>
  <r>
    <x v="33"/>
    <x v="2"/>
    <n v="70498.5"/>
    <n v="6053649"/>
    <n v="10"/>
    <n v="627"/>
    <n v="545"/>
    <x v="400"/>
    <x v="2"/>
  </r>
  <r>
    <x v="34"/>
    <x v="2"/>
    <n v="78961.5"/>
    <n v="6876454.5"/>
    <n v="10"/>
    <n v="743"/>
    <n v="652"/>
    <x v="401"/>
    <x v="2"/>
  </r>
  <r>
    <x v="29"/>
    <x v="3"/>
    <n v="12490.5"/>
    <n v="1054798.5"/>
    <n v="7"/>
    <n v="409"/>
    <n v="329"/>
    <x v="402"/>
    <x v="1"/>
  </r>
  <r>
    <x v="30"/>
    <x v="3"/>
    <n v="18036"/>
    <n v="1455049.5"/>
    <n v="10"/>
    <n v="965"/>
    <n v="861"/>
    <x v="403"/>
    <x v="3"/>
  </r>
  <r>
    <x v="27"/>
    <x v="3"/>
    <n v="11416.5"/>
    <n v="1007742"/>
    <n v="6"/>
    <n v="237"/>
    <n v="175"/>
    <x v="404"/>
    <x v="0"/>
  </r>
  <r>
    <x v="31"/>
    <x v="3"/>
    <n v="9007.5"/>
    <n v="734335.5"/>
    <n v="10"/>
    <n v="494"/>
    <n v="421"/>
    <x v="405"/>
    <x v="2"/>
  </r>
  <r>
    <x v="28"/>
    <x v="2"/>
    <n v="87552"/>
    <n v="7387116"/>
    <n v="7"/>
    <n v="491"/>
    <n v="411"/>
    <x v="406"/>
    <x v="1"/>
  </r>
  <r>
    <x v="32"/>
    <x v="3"/>
    <n v="11680.5"/>
    <n v="936427.5"/>
    <n v="10"/>
    <n v="645"/>
    <n v="565"/>
    <x v="407"/>
    <x v="3"/>
  </r>
  <r>
    <x v="33"/>
    <x v="3"/>
    <n v="12037.5"/>
    <n v="981564"/>
    <n v="10"/>
    <n v="627"/>
    <n v="545"/>
    <x v="408"/>
    <x v="2"/>
  </r>
  <r>
    <x v="34"/>
    <x v="3"/>
    <n v="14421"/>
    <n v="1150579.5"/>
    <n v="10"/>
    <n v="743"/>
    <n v="652"/>
    <x v="409"/>
    <x v="2"/>
  </r>
  <r>
    <x v="28"/>
    <x v="3"/>
    <n v="14823"/>
    <n v="1273464"/>
    <n v="7"/>
    <n v="491"/>
    <n v="411"/>
    <x v="410"/>
    <x v="1"/>
  </r>
  <r>
    <x v="29"/>
    <x v="4"/>
    <n v="31257"/>
    <n v="2924133"/>
    <n v="7"/>
    <n v="409"/>
    <n v="329"/>
    <x v="411"/>
    <x v="1"/>
  </r>
  <r>
    <x v="30"/>
    <x v="4"/>
    <n v="38074.5"/>
    <n v="3414180"/>
    <n v="10"/>
    <n v="965"/>
    <n v="861"/>
    <x v="412"/>
    <x v="3"/>
  </r>
  <r>
    <x v="27"/>
    <x v="4"/>
    <n v="32170.5"/>
    <n v="3013512"/>
    <n v="6"/>
    <n v="237"/>
    <n v="175"/>
    <x v="413"/>
    <x v="0"/>
  </r>
  <r>
    <x v="31"/>
    <x v="4"/>
    <n v="42397.5"/>
    <n v="3911979"/>
    <n v="10"/>
    <n v="494"/>
    <n v="421"/>
    <x v="414"/>
    <x v="2"/>
  </r>
  <r>
    <x v="32"/>
    <x v="4"/>
    <n v="28668"/>
    <n v="2588148"/>
    <n v="10"/>
    <n v="645"/>
    <n v="565"/>
    <x v="415"/>
    <x v="3"/>
  </r>
  <r>
    <x v="33"/>
    <x v="4"/>
    <n v="27411"/>
    <n v="2441520"/>
    <n v="10"/>
    <n v="627"/>
    <n v="545"/>
    <x v="416"/>
    <x v="2"/>
  </r>
  <r>
    <x v="34"/>
    <x v="4"/>
    <n v="32854.5"/>
    <n v="2949078"/>
    <n v="10"/>
    <n v="743"/>
    <n v="652"/>
    <x v="417"/>
    <x v="2"/>
  </r>
  <r>
    <x v="28"/>
    <x v="4"/>
    <n v="35346"/>
    <n v="3258054"/>
    <n v="7"/>
    <n v="491"/>
    <n v="411"/>
    <x v="418"/>
    <x v="1"/>
  </r>
  <r>
    <x v="29"/>
    <x v="5"/>
    <n v="286558.5"/>
    <n v="29256993"/>
    <n v="7"/>
    <n v="409"/>
    <n v="329"/>
    <x v="419"/>
    <x v="1"/>
  </r>
  <r>
    <x v="30"/>
    <x v="5"/>
    <n v="304092"/>
    <n v="29465769"/>
    <n v="10"/>
    <n v="965"/>
    <n v="861"/>
    <x v="420"/>
    <x v="3"/>
  </r>
  <r>
    <x v="27"/>
    <x v="5"/>
    <n v="272926.5"/>
    <n v="27770092.5"/>
    <n v="6"/>
    <n v="237"/>
    <n v="175"/>
    <x v="421"/>
    <x v="0"/>
  </r>
  <r>
    <x v="31"/>
    <x v="5"/>
    <n v="237099"/>
    <n v="24628233.223949999"/>
    <n v="10"/>
    <n v="494"/>
    <n v="421"/>
    <x v="422"/>
    <x v="2"/>
  </r>
  <r>
    <x v="32"/>
    <x v="5"/>
    <n v="273900"/>
    <n v="27535284.147600003"/>
    <n v="10"/>
    <n v="645"/>
    <n v="565"/>
    <x v="423"/>
    <x v="3"/>
  </r>
  <r>
    <x v="33"/>
    <x v="5"/>
    <n v="274059"/>
    <n v="28181292"/>
    <n v="10"/>
    <n v="627"/>
    <n v="545"/>
    <x v="424"/>
    <x v="2"/>
  </r>
  <r>
    <x v="34"/>
    <x v="5"/>
    <n v="318816"/>
    <n v="32354331"/>
    <n v="10"/>
    <n v="743"/>
    <n v="652"/>
    <x v="425"/>
    <x v="2"/>
  </r>
  <r>
    <x v="29"/>
    <x v="6"/>
    <n v="370012.5"/>
    <n v="39034861.5"/>
    <n v="7"/>
    <n v="409"/>
    <n v="329"/>
    <x v="426"/>
    <x v="1"/>
  </r>
  <r>
    <x v="30"/>
    <x v="6"/>
    <n v="393018"/>
    <n v="39498373.5"/>
    <n v="10"/>
    <n v="965"/>
    <n v="861"/>
    <x v="427"/>
    <x v="3"/>
  </r>
  <r>
    <x v="27"/>
    <x v="6"/>
    <n v="349699.5"/>
    <n v="37257840.18135"/>
    <n v="6"/>
    <n v="237"/>
    <n v="175"/>
    <x v="428"/>
    <x v="0"/>
  </r>
  <r>
    <x v="31"/>
    <x v="6"/>
    <n v="318565.5"/>
    <n v="33781581"/>
    <n v="10"/>
    <n v="494"/>
    <n v="421"/>
    <x v="429"/>
    <x v="2"/>
  </r>
  <r>
    <x v="28"/>
    <x v="5"/>
    <n v="422965.5"/>
    <n v="41767140.105000004"/>
    <n v="7"/>
    <n v="491"/>
    <n v="411"/>
    <x v="430"/>
    <x v="1"/>
  </r>
  <r>
    <x v="32"/>
    <x v="6"/>
    <n v="355081.5"/>
    <n v="36876888"/>
    <n v="10"/>
    <n v="645"/>
    <n v="565"/>
    <x v="431"/>
    <x v="3"/>
  </r>
  <r>
    <x v="33"/>
    <x v="6"/>
    <n v="358387.5"/>
    <n v="37963150.5"/>
    <n v="10"/>
    <n v="627"/>
    <n v="545"/>
    <x v="432"/>
    <x v="2"/>
  </r>
  <r>
    <x v="34"/>
    <x v="6"/>
    <n v="403261.5"/>
    <n v="42271377"/>
    <n v="10"/>
    <n v="743"/>
    <n v="652"/>
    <x v="433"/>
    <x v="2"/>
  </r>
  <r>
    <x v="29"/>
    <x v="7"/>
    <n v="69010.5"/>
    <n v="5985894"/>
    <n v="7"/>
    <n v="409"/>
    <n v="329"/>
    <x v="434"/>
    <x v="1"/>
  </r>
  <r>
    <x v="30"/>
    <x v="7"/>
    <n v="75820.5"/>
    <n v="5943489"/>
    <n v="10"/>
    <n v="965"/>
    <n v="861"/>
    <x v="435"/>
    <x v="3"/>
  </r>
  <r>
    <x v="27"/>
    <x v="7"/>
    <n v="64740"/>
    <n v="5800290"/>
    <n v="6"/>
    <n v="237"/>
    <n v="175"/>
    <x v="436"/>
    <x v="0"/>
  </r>
  <r>
    <x v="31"/>
    <x v="7"/>
    <n v="59574"/>
    <n v="5178169.5"/>
    <n v="10"/>
    <n v="494"/>
    <n v="421"/>
    <x v="437"/>
    <x v="2"/>
  </r>
  <r>
    <x v="28"/>
    <x v="6"/>
    <n v="524481"/>
    <n v="54172029"/>
    <n v="7"/>
    <n v="491"/>
    <n v="411"/>
    <x v="438"/>
    <x v="1"/>
  </r>
  <r>
    <x v="32"/>
    <x v="7"/>
    <n v="70278"/>
    <n v="5798476.5"/>
    <n v="10"/>
    <n v="645"/>
    <n v="565"/>
    <x v="439"/>
    <x v="3"/>
  </r>
  <r>
    <x v="33"/>
    <x v="7"/>
    <n v="63645"/>
    <n v="5366602.5"/>
    <n v="10"/>
    <n v="627"/>
    <n v="545"/>
    <x v="440"/>
    <x v="2"/>
  </r>
  <r>
    <x v="34"/>
    <x v="7"/>
    <n v="75642"/>
    <n v="6293952"/>
    <n v="10"/>
    <n v="743"/>
    <n v="652"/>
    <x v="441"/>
    <x v="2"/>
  </r>
  <r>
    <x v="29"/>
    <x v="8"/>
    <n v="40420.5"/>
    <n v="3780852"/>
    <n v="7"/>
    <n v="409"/>
    <n v="329"/>
    <x v="442"/>
    <x v="1"/>
  </r>
  <r>
    <x v="30"/>
    <x v="8"/>
    <n v="53838"/>
    <n v="4840833"/>
    <n v="10"/>
    <n v="965"/>
    <n v="861"/>
    <x v="443"/>
    <x v="3"/>
  </r>
  <r>
    <x v="27"/>
    <x v="8"/>
    <n v="40528.5"/>
    <n v="3865251"/>
    <n v="6"/>
    <n v="237"/>
    <n v="175"/>
    <x v="444"/>
    <x v="0"/>
  </r>
  <r>
    <x v="31"/>
    <x v="8"/>
    <n v="32733"/>
    <n v="3079630.5"/>
    <n v="10"/>
    <n v="494"/>
    <n v="421"/>
    <x v="445"/>
    <x v="2"/>
  </r>
  <r>
    <x v="28"/>
    <x v="7"/>
    <n v="84433.5"/>
    <n v="7228395"/>
    <n v="7"/>
    <n v="491"/>
    <n v="411"/>
    <x v="446"/>
    <x v="1"/>
  </r>
  <r>
    <x v="32"/>
    <x v="8"/>
    <n v="36655.5"/>
    <n v="3360135"/>
    <n v="10"/>
    <n v="645"/>
    <n v="565"/>
    <x v="447"/>
    <x v="3"/>
  </r>
  <r>
    <x v="33"/>
    <x v="8"/>
    <n v="33886.5"/>
    <n v="3166479"/>
    <n v="10"/>
    <n v="627"/>
    <n v="545"/>
    <x v="448"/>
    <x v="2"/>
  </r>
  <r>
    <x v="34"/>
    <x v="8"/>
    <n v="41697"/>
    <n v="3772258.5"/>
    <n v="10"/>
    <n v="743"/>
    <n v="652"/>
    <x v="449"/>
    <x v="2"/>
  </r>
  <r>
    <x v="28"/>
    <x v="8"/>
    <n v="44569.5"/>
    <n v="4108596"/>
    <n v="7"/>
    <n v="491"/>
    <n v="411"/>
    <x v="450"/>
    <x v="1"/>
  </r>
  <r>
    <x v="29"/>
    <x v="9"/>
    <n v="18069"/>
    <n v="1603084.5"/>
    <n v="7"/>
    <n v="409"/>
    <n v="329"/>
    <x v="451"/>
    <x v="1"/>
  </r>
  <r>
    <x v="30"/>
    <x v="9"/>
    <n v="21483"/>
    <n v="1774329"/>
    <n v="10"/>
    <n v="965"/>
    <n v="861"/>
    <x v="452"/>
    <x v="3"/>
  </r>
  <r>
    <x v="27"/>
    <x v="9"/>
    <n v="16687.5"/>
    <n v="1526608.5"/>
    <n v="6"/>
    <n v="237"/>
    <n v="175"/>
    <x v="453"/>
    <x v="0"/>
  </r>
  <r>
    <x v="31"/>
    <x v="9"/>
    <n v="12238.5"/>
    <n v="1096002"/>
    <n v="10"/>
    <n v="494"/>
    <n v="421"/>
    <x v="454"/>
    <x v="2"/>
  </r>
  <r>
    <x v="32"/>
    <x v="9"/>
    <n v="14290.5"/>
    <n v="1246162.5"/>
    <n v="10"/>
    <n v="645"/>
    <n v="565"/>
    <x v="455"/>
    <x v="3"/>
  </r>
  <r>
    <x v="33"/>
    <x v="9"/>
    <n v="14385"/>
    <n v="1223491.5"/>
    <n v="10"/>
    <n v="627"/>
    <n v="545"/>
    <x v="456"/>
    <x v="2"/>
  </r>
  <r>
    <x v="34"/>
    <x v="9"/>
    <n v="16498.5"/>
    <n v="1370482.5"/>
    <n v="10"/>
    <n v="743"/>
    <n v="652"/>
    <x v="457"/>
    <x v="2"/>
  </r>
  <r>
    <x v="29"/>
    <x v="10"/>
    <n v="13203"/>
    <n v="1211457"/>
    <n v="7"/>
    <n v="409"/>
    <n v="329"/>
    <x v="458"/>
    <x v="1"/>
  </r>
  <r>
    <x v="30"/>
    <x v="10"/>
    <n v="15802.5"/>
    <n v="1411909.5"/>
    <n v="10"/>
    <n v="965"/>
    <n v="861"/>
    <x v="459"/>
    <x v="3"/>
  </r>
  <r>
    <x v="27"/>
    <x v="10"/>
    <n v="16476"/>
    <n v="1565632.5"/>
    <n v="6"/>
    <n v="237"/>
    <n v="175"/>
    <x v="460"/>
    <x v="0"/>
  </r>
  <r>
    <x v="31"/>
    <x v="10"/>
    <n v="12654"/>
    <n v="1081158"/>
    <n v="10"/>
    <n v="494"/>
    <n v="421"/>
    <x v="461"/>
    <x v="2"/>
  </r>
  <r>
    <x v="28"/>
    <x v="9"/>
    <n v="19647"/>
    <n v="1764669"/>
    <n v="7"/>
    <n v="491"/>
    <n v="411"/>
    <x v="462"/>
    <x v="1"/>
  </r>
  <r>
    <x v="32"/>
    <x v="10"/>
    <n v="12450"/>
    <n v="1115146.5"/>
    <n v="10"/>
    <n v="645"/>
    <n v="565"/>
    <x v="463"/>
    <x v="3"/>
  </r>
  <r>
    <x v="33"/>
    <x v="10"/>
    <n v="11161.5"/>
    <n v="963502.5"/>
    <n v="10"/>
    <n v="627"/>
    <n v="545"/>
    <x v="464"/>
    <x v="2"/>
  </r>
  <r>
    <x v="34"/>
    <x v="10"/>
    <n v="12229.5"/>
    <n v="1122730.5"/>
    <n v="10"/>
    <n v="743"/>
    <n v="652"/>
    <x v="465"/>
    <x v="2"/>
  </r>
  <r>
    <x v="29"/>
    <x v="11"/>
    <n v="28050"/>
    <n v="2458555.5"/>
    <n v="7"/>
    <n v="409"/>
    <n v="329"/>
    <x v="466"/>
    <x v="1"/>
  </r>
  <r>
    <x v="30"/>
    <x v="11"/>
    <n v="30781.5"/>
    <n v="2540715"/>
    <n v="10"/>
    <n v="965"/>
    <n v="861"/>
    <x v="467"/>
    <x v="3"/>
  </r>
  <r>
    <x v="27"/>
    <x v="11"/>
    <n v="27960"/>
    <n v="2538967.5"/>
    <n v="6"/>
    <n v="237"/>
    <n v="175"/>
    <x v="468"/>
    <x v="0"/>
  </r>
  <r>
    <x v="31"/>
    <x v="11"/>
    <n v="23629.5"/>
    <n v="2164365"/>
    <n v="10"/>
    <n v="494"/>
    <n v="421"/>
    <x v="469"/>
    <x v="2"/>
  </r>
  <r>
    <x v="28"/>
    <x v="10"/>
    <n v="17052"/>
    <n v="1549020"/>
    <n v="7"/>
    <n v="491"/>
    <n v="411"/>
    <x v="470"/>
    <x v="1"/>
  </r>
  <r>
    <x v="32"/>
    <x v="11"/>
    <n v="27181.5"/>
    <n v="2324490"/>
    <n v="10"/>
    <n v="645"/>
    <n v="565"/>
    <x v="471"/>
    <x v="3"/>
  </r>
  <r>
    <x v="33"/>
    <x v="11"/>
    <n v="25656"/>
    <n v="2225341.5"/>
    <n v="10"/>
    <n v="627"/>
    <n v="545"/>
    <x v="472"/>
    <x v="2"/>
  </r>
  <r>
    <x v="34"/>
    <x v="11"/>
    <n v="29283"/>
    <n v="2477487"/>
    <n v="10"/>
    <n v="743"/>
    <n v="652"/>
    <x v="473"/>
    <x v="2"/>
  </r>
  <r>
    <x v="28"/>
    <x v="11"/>
    <n v="32782.5"/>
    <n v="2854741.5"/>
    <n v="7"/>
    <n v="491"/>
    <n v="411"/>
    <x v="474"/>
    <x v="1"/>
  </r>
  <r>
    <x v="29"/>
    <x v="12"/>
    <n v="215592"/>
    <n v="22342300.5"/>
    <n v="7"/>
    <n v="409"/>
    <n v="329"/>
    <x v="475"/>
    <x v="1"/>
  </r>
  <r>
    <x v="30"/>
    <x v="12"/>
    <n v="228334.5"/>
    <n v="22380772.5"/>
    <n v="10"/>
    <n v="965"/>
    <n v="861"/>
    <x v="476"/>
    <x v="3"/>
  </r>
  <r>
    <x v="27"/>
    <x v="12"/>
    <n v="188776.5"/>
    <n v="19465372.5"/>
    <n v="6"/>
    <n v="237"/>
    <n v="175"/>
    <x v="477"/>
    <x v="0"/>
  </r>
  <r>
    <x v="31"/>
    <x v="12"/>
    <n v="175293"/>
    <n v="17919144"/>
    <n v="10"/>
    <n v="494"/>
    <n v="421"/>
    <x v="478"/>
    <x v="2"/>
  </r>
  <r>
    <x v="32"/>
    <x v="12"/>
    <n v="201999"/>
    <n v="20422435.5"/>
    <n v="10"/>
    <n v="645"/>
    <n v="565"/>
    <x v="479"/>
    <x v="3"/>
  </r>
  <r>
    <x v="33"/>
    <x v="12"/>
    <n v="197946"/>
    <n v="19942435.5"/>
    <n v="10"/>
    <n v="627"/>
    <n v="545"/>
    <x v="480"/>
    <x v="2"/>
  </r>
  <r>
    <x v="34"/>
    <x v="12"/>
    <n v="230896.5"/>
    <n v="23085222"/>
    <n v="10"/>
    <n v="743"/>
    <n v="652"/>
    <x v="481"/>
    <x v="2"/>
  </r>
  <r>
    <x v="29"/>
    <x v="13"/>
    <n v="203532"/>
    <n v="20953324.5"/>
    <n v="7"/>
    <n v="409"/>
    <n v="329"/>
    <x v="482"/>
    <x v="1"/>
  </r>
  <r>
    <x v="30"/>
    <x v="13"/>
    <n v="214428"/>
    <n v="20812585.5"/>
    <n v="10"/>
    <n v="965"/>
    <n v="861"/>
    <x v="483"/>
    <x v="3"/>
  </r>
  <r>
    <x v="27"/>
    <x v="13"/>
    <n v="183228"/>
    <n v="18914194.5"/>
    <n v="6"/>
    <n v="237"/>
    <n v="175"/>
    <x v="484"/>
    <x v="0"/>
  </r>
  <r>
    <x v="31"/>
    <x v="13"/>
    <n v="166948.5"/>
    <n v="16971231"/>
    <n v="10"/>
    <n v="494"/>
    <n v="421"/>
    <x v="485"/>
    <x v="2"/>
  </r>
  <r>
    <x v="28"/>
    <x v="12"/>
    <n v="232102.5"/>
    <n v="23120443.5"/>
    <n v="7"/>
    <n v="491"/>
    <n v="411"/>
    <x v="486"/>
    <x v="1"/>
  </r>
  <r>
    <x v="32"/>
    <x v="13"/>
    <n v="196560"/>
    <n v="19855122"/>
    <n v="10"/>
    <n v="645"/>
    <n v="565"/>
    <x v="487"/>
    <x v="3"/>
  </r>
  <r>
    <x v="33"/>
    <x v="13"/>
    <n v="186496.5"/>
    <n v="18640998"/>
    <n v="10"/>
    <n v="627"/>
    <n v="545"/>
    <x v="488"/>
    <x v="2"/>
  </r>
  <r>
    <x v="34"/>
    <x v="13"/>
    <n v="219772.5"/>
    <n v="21895294.5"/>
    <n v="10"/>
    <n v="743"/>
    <n v="652"/>
    <x v="489"/>
    <x v="2"/>
  </r>
  <r>
    <x v="28"/>
    <x v="13"/>
    <n v="226476"/>
    <n v="22416151.5"/>
    <n v="7"/>
    <n v="491"/>
    <n v="411"/>
    <x v="490"/>
    <x v="1"/>
  </r>
  <r>
    <x v="29"/>
    <x v="15"/>
    <n v="8362.5"/>
    <n v="687684"/>
    <n v="7"/>
    <n v="409"/>
    <n v="329"/>
    <x v="491"/>
    <x v="1"/>
  </r>
  <r>
    <x v="30"/>
    <x v="14"/>
    <n v="17008.5"/>
    <n v="1398771"/>
    <n v="10"/>
    <n v="965"/>
    <n v="861"/>
    <x v="492"/>
    <x v="3"/>
  </r>
  <r>
    <x v="27"/>
    <x v="16"/>
    <n v="5166"/>
    <n v="389013"/>
    <n v="6"/>
    <n v="237"/>
    <n v="175"/>
    <x v="493"/>
    <x v="0"/>
  </r>
  <r>
    <x v="31"/>
    <x v="14"/>
    <n v="10941"/>
    <n v="880356"/>
    <n v="10"/>
    <n v="494"/>
    <n v="421"/>
    <x v="494"/>
    <x v="2"/>
  </r>
  <r>
    <x v="32"/>
    <x v="14"/>
    <n v="14497.5"/>
    <n v="1230711"/>
    <n v="10"/>
    <n v="645"/>
    <n v="565"/>
    <x v="495"/>
    <x v="3"/>
  </r>
  <r>
    <x v="33"/>
    <x v="14"/>
    <n v="13810.5"/>
    <n v="1131676.5"/>
    <n v="10"/>
    <n v="627"/>
    <n v="545"/>
    <x v="496"/>
    <x v="2"/>
  </r>
  <r>
    <x v="34"/>
    <x v="14"/>
    <n v="13752"/>
    <n v="1091040"/>
    <n v="10"/>
    <n v="743"/>
    <n v="652"/>
    <x v="497"/>
    <x v="2"/>
  </r>
  <r>
    <x v="29"/>
    <x v="14"/>
    <n v="15276"/>
    <n v="1350199.5"/>
    <n v="7"/>
    <n v="409"/>
    <n v="329"/>
    <x v="498"/>
    <x v="1"/>
  </r>
  <r>
    <x v="27"/>
    <x v="17"/>
    <n v="4408.5"/>
    <n v="410892"/>
    <n v="6"/>
    <n v="237"/>
    <n v="175"/>
    <x v="499"/>
    <x v="0"/>
  </r>
  <r>
    <x v="28"/>
    <x v="15"/>
    <n v="9927"/>
    <n v="850840.5"/>
    <n v="7"/>
    <n v="491"/>
    <n v="411"/>
    <x v="500"/>
    <x v="1"/>
  </r>
  <r>
    <x v="27"/>
    <x v="15"/>
    <n v="9474"/>
    <n v="802447.5"/>
    <n v="6"/>
    <n v="237"/>
    <n v="175"/>
    <x v="501"/>
    <x v="0"/>
  </r>
  <r>
    <x v="28"/>
    <x v="14"/>
    <n v="16878"/>
    <n v="1438255.5"/>
    <n v="7"/>
    <n v="491"/>
    <n v="411"/>
    <x v="502"/>
    <x v="1"/>
  </r>
  <r>
    <x v="27"/>
    <x v="14"/>
    <n v="14238"/>
    <n v="1293219"/>
    <n v="6"/>
    <n v="237"/>
    <n v="175"/>
    <x v="5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3017D-D7EE-4E04-A852-B56B958CCD03}" name="PivotTable22" cacheId="3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22:C29" firstHeaderRow="0" firstDataRow="1" firstDataCol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showAll="0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dataField="1" multipleItemSelectionAllowed="1" showAll="0">
      <items count="505">
        <item x="265"/>
        <item x="249"/>
        <item x="251"/>
        <item x="247"/>
        <item x="60"/>
        <item x="70"/>
        <item x="493"/>
        <item x="259"/>
        <item x="499"/>
        <item x="255"/>
        <item x="72"/>
        <item x="76"/>
        <item x="58"/>
        <item x="63"/>
        <item x="405"/>
        <item x="261"/>
        <item x="268"/>
        <item x="384"/>
        <item x="66"/>
        <item x="59"/>
        <item x="267"/>
        <item x="367"/>
        <item x="359"/>
        <item x="378"/>
        <item x="80"/>
        <item x="56"/>
        <item x="79"/>
        <item x="68"/>
        <item x="67"/>
        <item x="494"/>
        <item x="62"/>
        <item x="358"/>
        <item x="2"/>
        <item x="380"/>
        <item x="64"/>
        <item x="407"/>
        <item x="55"/>
        <item x="257"/>
        <item x="357"/>
        <item x="78"/>
        <item x="464"/>
        <item x="374"/>
        <item x="349"/>
        <item x="408"/>
        <item x="491"/>
        <item x="252"/>
        <item x="381"/>
        <item x="350"/>
        <item x="371"/>
        <item x="77"/>
        <item x="368"/>
        <item x="75"/>
        <item x="65"/>
        <item x="0"/>
        <item x="57"/>
        <item x="373"/>
        <item x="225"/>
        <item x="245"/>
        <item x="377"/>
        <item x="461"/>
        <item x="246"/>
        <item x="223"/>
        <item x="497"/>
        <item x="362"/>
        <item x="454"/>
        <item x="232"/>
        <item x="238"/>
        <item x="253"/>
        <item x="254"/>
        <item x="463"/>
        <item x="224"/>
        <item x="234"/>
        <item x="465"/>
        <item x="228"/>
        <item x="241"/>
        <item x="1"/>
        <item x="355"/>
        <item x="54"/>
        <item x="496"/>
        <item x="361"/>
        <item x="365"/>
        <item x="409"/>
        <item x="356"/>
        <item x="363"/>
        <item x="366"/>
        <item x="269"/>
        <item x="360"/>
        <item x="266"/>
        <item x="243"/>
        <item x="500"/>
        <item x="372"/>
        <item x="364"/>
        <item x="235"/>
        <item x="222"/>
        <item x="456"/>
        <item x="264"/>
        <item x="495"/>
        <item x="73"/>
        <item x="233"/>
        <item x="455"/>
        <item x="240"/>
        <item x="262"/>
        <item x="354"/>
        <item x="379"/>
        <item x="370"/>
        <item x="501"/>
        <item x="220"/>
        <item x="457"/>
        <item x="221"/>
        <item x="229"/>
        <item x="231"/>
        <item x="375"/>
        <item x="492"/>
        <item x="244"/>
        <item x="61"/>
        <item x="459"/>
        <item x="230"/>
        <item x="392"/>
        <item x="403"/>
        <item x="369"/>
        <item x="227"/>
        <item x="239"/>
        <item x="402"/>
        <item x="237"/>
        <item x="242"/>
        <item x="83"/>
        <item x="219"/>
        <item x="250"/>
        <item x="404"/>
        <item x="275"/>
        <item x="376"/>
        <item x="458"/>
        <item x="81"/>
        <item x="288"/>
        <item x="452"/>
        <item x="90"/>
        <item x="82"/>
        <item x="410"/>
        <item x="236"/>
        <item x="284"/>
        <item x="498"/>
        <item x="387"/>
        <item x="502"/>
        <item x="96"/>
        <item x="263"/>
        <item x="226"/>
        <item x="97"/>
        <item x="503"/>
        <item x="274"/>
        <item x="286"/>
        <item x="469"/>
        <item x="99"/>
        <item x="279"/>
        <item x="470"/>
        <item x="472"/>
        <item x="283"/>
        <item x="100"/>
        <item x="292"/>
        <item x="278"/>
        <item x="282"/>
        <item x="103"/>
        <item x="105"/>
        <item x="256"/>
        <item x="451"/>
        <item x="285"/>
        <item x="293"/>
        <item x="471"/>
        <item x="106"/>
        <item x="248"/>
        <item x="93"/>
        <item x="7"/>
        <item x="397"/>
        <item x="98"/>
        <item x="92"/>
        <item x="281"/>
        <item x="273"/>
        <item x="89"/>
        <item x="16"/>
        <item x="18"/>
        <item x="272"/>
        <item x="416"/>
        <item x="271"/>
        <item x="88"/>
        <item x="195"/>
        <item x="25"/>
        <item x="473"/>
        <item x="385"/>
        <item x="289"/>
        <item x="280"/>
        <item x="462"/>
        <item x="294"/>
        <item x="386"/>
        <item x="467"/>
        <item x="453"/>
        <item x="290"/>
        <item x="415"/>
        <item x="12"/>
        <item x="460"/>
        <item x="8"/>
        <item x="194"/>
        <item x="17"/>
        <item x="24"/>
        <item x="201"/>
        <item x="258"/>
        <item x="95"/>
        <item x="86"/>
        <item x="389"/>
        <item x="9"/>
        <item x="205"/>
        <item x="207"/>
        <item x="13"/>
        <item x="291"/>
        <item x="4"/>
        <item x="22"/>
        <item x="193"/>
        <item x="388"/>
        <item x="6"/>
        <item x="94"/>
        <item x="211"/>
        <item x="104"/>
        <item x="202"/>
        <item x="85"/>
        <item x="102"/>
        <item x="5"/>
        <item x="87"/>
        <item x="15"/>
        <item x="107"/>
        <item x="270"/>
        <item x="26"/>
        <item x="14"/>
        <item x="214"/>
        <item x="19"/>
        <item x="417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213"/>
        <item x="84"/>
        <item x="203"/>
        <item x="23"/>
        <item x="447"/>
        <item x="101"/>
        <item x="3"/>
        <item x="412"/>
        <item x="276"/>
        <item x="215"/>
        <item x="260"/>
        <item x="466"/>
        <item x="212"/>
        <item x="190"/>
        <item x="210"/>
        <item x="20"/>
        <item x="299"/>
        <item x="449"/>
        <item x="199"/>
        <item x="208"/>
        <item x="414"/>
        <item x="200"/>
        <item x="189"/>
        <item x="29"/>
        <item x="474"/>
        <item x="168"/>
        <item x="91"/>
        <item x="411"/>
        <item x="468"/>
        <item x="10"/>
        <item x="110"/>
        <item x="197"/>
        <item x="298"/>
        <item x="382"/>
        <item x="393"/>
        <item x="418"/>
        <item x="297"/>
        <item x="443"/>
        <item x="391"/>
        <item x="108"/>
        <item x="413"/>
        <item x="437"/>
        <item x="109"/>
        <item x="196"/>
        <item x="186"/>
        <item x="440"/>
        <item x="442"/>
        <item x="180"/>
        <item x="171"/>
        <item x="36"/>
        <item x="166"/>
        <item x="218"/>
        <item x="28"/>
        <item x="183"/>
        <item x="174"/>
        <item x="27"/>
        <item x="439"/>
        <item x="172"/>
        <item x="450"/>
        <item x="435"/>
        <item x="164"/>
        <item x="400"/>
        <item x="188"/>
        <item x="46"/>
        <item x="163"/>
        <item x="187"/>
        <item x="178"/>
        <item x="33"/>
        <item x="175"/>
        <item x="51"/>
        <item x="441"/>
        <item x="176"/>
        <item x="217"/>
        <item x="39"/>
        <item x="398"/>
        <item x="444"/>
        <item x="53"/>
        <item x="167"/>
        <item x="52"/>
        <item x="399"/>
        <item x="40"/>
        <item x="34"/>
        <item x="48"/>
        <item x="162"/>
        <item x="216"/>
        <item x="32"/>
        <item x="31"/>
        <item x="184"/>
        <item x="401"/>
        <item x="42"/>
        <item x="44"/>
        <item x="45"/>
        <item x="49"/>
        <item x="170"/>
        <item x="173"/>
        <item x="43"/>
        <item x="181"/>
        <item x="35"/>
        <item x="41"/>
        <item x="165"/>
        <item x="50"/>
        <item x="30"/>
        <item x="185"/>
        <item x="395"/>
        <item x="47"/>
        <item x="169"/>
        <item x="434"/>
        <item x="209"/>
        <item x="38"/>
        <item x="74"/>
        <item x="37"/>
        <item x="394"/>
        <item x="436"/>
        <item x="446"/>
        <item x="406"/>
        <item x="204"/>
        <item x="396"/>
        <item x="69"/>
        <item x="206"/>
        <item x="71"/>
        <item x="485"/>
        <item x="478"/>
        <item x="327"/>
        <item x="326"/>
        <item x="329"/>
        <item x="488"/>
        <item x="332"/>
        <item x="336"/>
        <item x="348"/>
        <item x="309"/>
        <item x="303"/>
        <item x="314"/>
        <item x="302"/>
        <item x="306"/>
        <item x="343"/>
        <item x="487"/>
        <item x="480"/>
        <item x="323"/>
        <item x="313"/>
        <item x="479"/>
        <item x="318"/>
        <item x="325"/>
        <item x="483"/>
        <item x="305"/>
        <item x="335"/>
        <item x="333"/>
        <item x="296"/>
        <item x="334"/>
        <item x="347"/>
        <item x="295"/>
        <item x="344"/>
        <item x="489"/>
        <item x="312"/>
        <item x="301"/>
        <item x="311"/>
        <item x="340"/>
        <item x="310"/>
        <item x="324"/>
        <item x="476"/>
        <item x="322"/>
        <item x="319"/>
        <item x="328"/>
        <item x="346"/>
        <item x="316"/>
        <item x="481"/>
        <item x="345"/>
        <item x="300"/>
        <item x="321"/>
        <item x="331"/>
        <item x="304"/>
        <item x="117"/>
        <item x="422"/>
        <item x="320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121"/>
        <item x="353"/>
        <item x="424"/>
        <item x="134"/>
        <item x="126"/>
        <item x="317"/>
        <item x="127"/>
        <item x="120"/>
        <item x="124"/>
        <item x="342"/>
        <item x="115"/>
        <item x="122"/>
        <item x="420"/>
        <item x="131"/>
        <item x="114"/>
        <item x="482"/>
        <item x="116"/>
        <item x="119"/>
        <item x="484"/>
        <item x="141"/>
        <item x="475"/>
        <item x="490"/>
        <item x="111"/>
        <item x="425"/>
        <item x="130"/>
        <item x="477"/>
        <item x="486"/>
        <item x="160"/>
        <item x="429"/>
        <item x="330"/>
        <item x="352"/>
        <item x="351"/>
        <item x="339"/>
        <item x="128"/>
        <item x="147"/>
        <item x="307"/>
        <item x="337"/>
        <item x="151"/>
        <item x="137"/>
        <item x="431"/>
        <item x="156"/>
        <item x="136"/>
        <item x="149"/>
        <item x="145"/>
        <item x="432"/>
        <item x="132"/>
        <item x="153"/>
        <item x="161"/>
        <item x="139"/>
        <item x="138"/>
        <item x="158"/>
        <item x="427"/>
        <item x="144"/>
        <item x="146"/>
        <item x="118"/>
        <item x="148"/>
        <item x="143"/>
        <item x="155"/>
        <item x="140"/>
        <item x="419"/>
        <item x="433"/>
        <item x="135"/>
        <item x="157"/>
        <item x="421"/>
        <item x="154"/>
        <item x="150"/>
        <item x="159"/>
        <item x="152"/>
        <item x="182"/>
        <item x="142"/>
        <item x="426"/>
        <item x="430"/>
        <item x="428"/>
        <item x="177"/>
        <item x="179"/>
        <item x="438"/>
        <item t="default"/>
      </items>
    </pivotField>
    <pivotField axis="axisRow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Товарооборот, руб" fld="3" baseField="0" baseItem="0"/>
    <dataField name="Sum of Товарооборот на склад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FE70C-7747-4181-BB3E-D63220211ADB}" name="PivotTable2" cacheId="3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3:B17" firstHeaderRow="1" firstDataRow="1" firstDataCol="1" rowPageCount="1" colPageCount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measureFilter="1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multipleItemSelectionAllowed="1" showAll="0">
      <items count="505">
        <item x="265"/>
        <item x="249"/>
        <item x="251"/>
        <item x="247"/>
        <item x="60"/>
        <item x="70"/>
        <item x="493"/>
        <item x="259"/>
        <item x="499"/>
        <item x="255"/>
        <item x="72"/>
        <item x="76"/>
        <item x="58"/>
        <item x="63"/>
        <item x="405"/>
        <item x="261"/>
        <item x="268"/>
        <item x="384"/>
        <item x="66"/>
        <item x="59"/>
        <item x="267"/>
        <item x="367"/>
        <item x="359"/>
        <item x="378"/>
        <item x="80"/>
        <item x="56"/>
        <item x="79"/>
        <item x="68"/>
        <item x="67"/>
        <item x="494"/>
        <item x="62"/>
        <item x="358"/>
        <item x="2"/>
        <item x="380"/>
        <item x="64"/>
        <item x="407"/>
        <item x="55"/>
        <item x="257"/>
        <item x="357"/>
        <item x="78"/>
        <item x="464"/>
        <item x="374"/>
        <item x="349"/>
        <item x="408"/>
        <item x="491"/>
        <item x="252"/>
        <item x="381"/>
        <item x="350"/>
        <item x="371"/>
        <item x="77"/>
        <item x="368"/>
        <item x="75"/>
        <item x="65"/>
        <item x="0"/>
        <item x="57"/>
        <item x="373"/>
        <item x="225"/>
        <item x="245"/>
        <item x="377"/>
        <item x="461"/>
        <item x="246"/>
        <item x="223"/>
        <item x="497"/>
        <item x="362"/>
        <item x="454"/>
        <item x="232"/>
        <item x="238"/>
        <item x="253"/>
        <item x="254"/>
        <item x="463"/>
        <item x="224"/>
        <item x="234"/>
        <item x="465"/>
        <item x="228"/>
        <item x="241"/>
        <item x="1"/>
        <item x="355"/>
        <item x="54"/>
        <item x="496"/>
        <item x="361"/>
        <item x="365"/>
        <item x="409"/>
        <item x="356"/>
        <item x="363"/>
        <item x="366"/>
        <item x="269"/>
        <item x="360"/>
        <item x="266"/>
        <item x="243"/>
        <item x="500"/>
        <item x="372"/>
        <item x="364"/>
        <item x="235"/>
        <item x="222"/>
        <item x="456"/>
        <item x="264"/>
        <item x="495"/>
        <item x="73"/>
        <item x="233"/>
        <item x="455"/>
        <item x="240"/>
        <item x="262"/>
        <item x="354"/>
        <item x="379"/>
        <item x="370"/>
        <item x="501"/>
        <item x="220"/>
        <item x="457"/>
        <item x="221"/>
        <item x="229"/>
        <item x="231"/>
        <item x="375"/>
        <item x="492"/>
        <item x="244"/>
        <item x="61"/>
        <item x="459"/>
        <item x="230"/>
        <item x="392"/>
        <item x="403"/>
        <item x="369"/>
        <item x="227"/>
        <item x="239"/>
        <item x="402"/>
        <item x="237"/>
        <item x="242"/>
        <item x="83"/>
        <item x="219"/>
        <item x="250"/>
        <item x="404"/>
        <item x="275"/>
        <item x="376"/>
        <item x="458"/>
        <item x="81"/>
        <item x="288"/>
        <item x="452"/>
        <item x="90"/>
        <item x="82"/>
        <item x="410"/>
        <item x="236"/>
        <item x="284"/>
        <item x="498"/>
        <item x="387"/>
        <item x="502"/>
        <item x="96"/>
        <item x="263"/>
        <item x="226"/>
        <item x="97"/>
        <item x="503"/>
        <item x="274"/>
        <item x="286"/>
        <item x="469"/>
        <item x="99"/>
        <item x="279"/>
        <item x="470"/>
        <item x="472"/>
        <item x="283"/>
        <item x="100"/>
        <item x="292"/>
        <item x="278"/>
        <item x="282"/>
        <item x="103"/>
        <item x="105"/>
        <item x="256"/>
        <item x="451"/>
        <item x="285"/>
        <item x="293"/>
        <item x="471"/>
        <item x="106"/>
        <item x="248"/>
        <item x="93"/>
        <item x="7"/>
        <item x="397"/>
        <item x="98"/>
        <item x="92"/>
        <item x="281"/>
        <item x="273"/>
        <item x="89"/>
        <item x="16"/>
        <item x="18"/>
        <item x="272"/>
        <item x="416"/>
        <item x="271"/>
        <item x="88"/>
        <item x="195"/>
        <item x="25"/>
        <item x="473"/>
        <item x="385"/>
        <item x="289"/>
        <item x="280"/>
        <item x="462"/>
        <item x="294"/>
        <item x="386"/>
        <item x="467"/>
        <item x="453"/>
        <item x="290"/>
        <item x="415"/>
        <item x="12"/>
        <item x="460"/>
        <item x="8"/>
        <item x="194"/>
        <item x="17"/>
        <item x="24"/>
        <item x="201"/>
        <item x="258"/>
        <item x="95"/>
        <item x="86"/>
        <item x="389"/>
        <item x="9"/>
        <item x="205"/>
        <item x="207"/>
        <item x="13"/>
        <item x="291"/>
        <item x="4"/>
        <item x="22"/>
        <item x="193"/>
        <item x="388"/>
        <item x="6"/>
        <item x="94"/>
        <item x="211"/>
        <item x="104"/>
        <item x="202"/>
        <item x="85"/>
        <item x="102"/>
        <item x="5"/>
        <item x="87"/>
        <item x="15"/>
        <item x="107"/>
        <item x="270"/>
        <item x="26"/>
        <item x="14"/>
        <item x="214"/>
        <item x="19"/>
        <item x="417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213"/>
        <item x="84"/>
        <item x="203"/>
        <item x="23"/>
        <item x="447"/>
        <item x="101"/>
        <item x="3"/>
        <item x="412"/>
        <item x="276"/>
        <item x="215"/>
        <item x="260"/>
        <item x="466"/>
        <item x="212"/>
        <item x="190"/>
        <item x="210"/>
        <item x="20"/>
        <item x="299"/>
        <item x="449"/>
        <item x="199"/>
        <item x="208"/>
        <item x="414"/>
        <item x="200"/>
        <item x="189"/>
        <item x="29"/>
        <item x="474"/>
        <item x="168"/>
        <item x="91"/>
        <item x="411"/>
        <item x="468"/>
        <item x="10"/>
        <item x="110"/>
        <item x="197"/>
        <item x="298"/>
        <item x="382"/>
        <item x="393"/>
        <item x="418"/>
        <item x="297"/>
        <item x="443"/>
        <item x="391"/>
        <item x="108"/>
        <item x="413"/>
        <item x="437"/>
        <item x="109"/>
        <item x="196"/>
        <item x="186"/>
        <item x="440"/>
        <item x="442"/>
        <item x="180"/>
        <item x="171"/>
        <item x="36"/>
        <item x="166"/>
        <item x="218"/>
        <item x="28"/>
        <item x="183"/>
        <item x="174"/>
        <item x="27"/>
        <item x="439"/>
        <item x="172"/>
        <item x="450"/>
        <item x="435"/>
        <item x="164"/>
        <item x="400"/>
        <item x="188"/>
        <item x="46"/>
        <item x="163"/>
        <item x="187"/>
        <item x="178"/>
        <item x="33"/>
        <item x="175"/>
        <item x="51"/>
        <item x="441"/>
        <item x="176"/>
        <item x="217"/>
        <item x="39"/>
        <item x="398"/>
        <item x="444"/>
        <item x="53"/>
        <item x="167"/>
        <item x="52"/>
        <item x="399"/>
        <item x="40"/>
        <item x="34"/>
        <item x="48"/>
        <item x="162"/>
        <item x="216"/>
        <item x="32"/>
        <item x="31"/>
        <item x="184"/>
        <item x="401"/>
        <item x="42"/>
        <item x="44"/>
        <item x="45"/>
        <item x="49"/>
        <item x="170"/>
        <item x="173"/>
        <item x="43"/>
        <item x="181"/>
        <item x="35"/>
        <item x="41"/>
        <item x="165"/>
        <item x="50"/>
        <item x="30"/>
        <item x="185"/>
        <item x="395"/>
        <item x="47"/>
        <item x="169"/>
        <item x="434"/>
        <item x="209"/>
        <item x="38"/>
        <item x="74"/>
        <item x="37"/>
        <item x="394"/>
        <item x="436"/>
        <item x="446"/>
        <item x="406"/>
        <item x="204"/>
        <item x="396"/>
        <item x="69"/>
        <item x="206"/>
        <item x="71"/>
        <item x="485"/>
        <item x="478"/>
        <item x="327"/>
        <item x="326"/>
        <item x="329"/>
        <item x="488"/>
        <item x="332"/>
        <item x="336"/>
        <item x="348"/>
        <item x="309"/>
        <item x="303"/>
        <item x="314"/>
        <item x="302"/>
        <item x="306"/>
        <item x="343"/>
        <item x="487"/>
        <item x="480"/>
        <item x="323"/>
        <item x="313"/>
        <item x="479"/>
        <item x="318"/>
        <item x="325"/>
        <item x="483"/>
        <item x="305"/>
        <item x="335"/>
        <item x="333"/>
        <item x="296"/>
        <item x="334"/>
        <item x="347"/>
        <item x="295"/>
        <item x="344"/>
        <item x="489"/>
        <item x="312"/>
        <item x="301"/>
        <item x="311"/>
        <item x="340"/>
        <item x="310"/>
        <item x="324"/>
        <item x="476"/>
        <item x="322"/>
        <item x="319"/>
        <item x="328"/>
        <item x="346"/>
        <item x="316"/>
        <item x="481"/>
        <item x="345"/>
        <item x="300"/>
        <item x="321"/>
        <item x="331"/>
        <item x="304"/>
        <item x="117"/>
        <item x="422"/>
        <item x="320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121"/>
        <item x="353"/>
        <item x="424"/>
        <item x="134"/>
        <item x="126"/>
        <item x="317"/>
        <item x="127"/>
        <item x="120"/>
        <item x="124"/>
        <item x="342"/>
        <item x="115"/>
        <item x="122"/>
        <item x="420"/>
        <item x="131"/>
        <item x="114"/>
        <item x="482"/>
        <item x="116"/>
        <item x="119"/>
        <item x="484"/>
        <item x="141"/>
        <item x="475"/>
        <item x="490"/>
        <item x="111"/>
        <item x="425"/>
        <item x="130"/>
        <item x="477"/>
        <item x="486"/>
        <item x="160"/>
        <item x="429"/>
        <item x="330"/>
        <item x="352"/>
        <item x="351"/>
        <item x="339"/>
        <item x="128"/>
        <item x="147"/>
        <item x="307"/>
        <item x="337"/>
        <item x="151"/>
        <item x="137"/>
        <item x="431"/>
        <item x="156"/>
        <item x="136"/>
        <item x="149"/>
        <item x="145"/>
        <item x="432"/>
        <item x="132"/>
        <item x="153"/>
        <item x="161"/>
        <item x="139"/>
        <item x="138"/>
        <item x="158"/>
        <item x="427"/>
        <item x="144"/>
        <item x="146"/>
        <item x="118"/>
        <item x="148"/>
        <item x="143"/>
        <item x="155"/>
        <item x="140"/>
        <item x="419"/>
        <item x="433"/>
        <item x="135"/>
        <item x="157"/>
        <item x="421"/>
        <item x="154"/>
        <item x="150"/>
        <item x="159"/>
        <item x="152"/>
        <item x="182"/>
        <item x="142"/>
        <item x="426"/>
        <item x="430"/>
        <item x="428"/>
        <item x="177"/>
        <item x="179"/>
        <item x="438"/>
        <item t="default"/>
      </items>
    </pivotField>
    <pivotField axis="axisPage" multipleItemSelectionAllowed="1" showAll="0">
      <items count="7">
        <item h="1" x="5"/>
        <item h="1" x="4"/>
        <item h="1" x="2"/>
        <item h="1" x="3"/>
        <item h="1"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pageFields count="1">
    <pageField fld="8" hier="-1"/>
  </pageFields>
  <dataFields count="1">
    <dataField name="Sum of Товарооборот, руб" fld="3" baseField="0" baseItem="0"/>
  </dataFields>
  <pivotTableStyleInfo name="PivotStyleLight16" showRowHeaders="1" showColHeaders="1" showRowStripes="0" showColStripes="0" showLastColumn="1"/>
  <filters count="1">
    <filter fld="1" type="count" evalOrder="-1" id="8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B1ED3C-963D-49A6-B257-6AC480E5CC25}" name="PivotTable1" cacheId="3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">
  <location ref="A5:B9" firstHeaderRow="1" firstDataRow="1" firstDataCol="1" rowPageCount="1" colPageCount="1"/>
  <pivotFields count="11">
    <pivotField numFmtId="164" showAll="0">
      <items count="36">
        <item x="16"/>
        <item x="8"/>
        <item x="22"/>
        <item x="11"/>
        <item x="9"/>
        <item x="18"/>
        <item x="7"/>
        <item x="15"/>
        <item x="19"/>
        <item x="25"/>
        <item x="24"/>
        <item x="6"/>
        <item x="23"/>
        <item x="31"/>
        <item x="12"/>
        <item x="17"/>
        <item x="33"/>
        <item x="34"/>
        <item x="3"/>
        <item x="5"/>
        <item x="32"/>
        <item x="4"/>
        <item x="14"/>
        <item x="13"/>
        <item x="30"/>
        <item x="20"/>
        <item x="26"/>
        <item x="21"/>
        <item x="10"/>
        <item x="29"/>
        <item x="2"/>
        <item x="28"/>
        <item x="1"/>
        <item x="0"/>
        <item x="27"/>
        <item t="default"/>
      </items>
    </pivotField>
    <pivotField axis="axisRow" showAll="0" measureFilter="1" sortType="descending">
      <items count="19">
        <item x="7"/>
        <item x="2"/>
        <item x="8"/>
        <item x="1"/>
        <item x="11"/>
        <item x="13"/>
        <item x="12"/>
        <item x="4"/>
        <item x="14"/>
        <item x="9"/>
        <item x="10"/>
        <item x="0"/>
        <item x="6"/>
        <item x="5"/>
        <item x="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multipleItemSelectionAllowed="1" showAll="0" measureFilter="1">
      <items count="505">
        <item x="265"/>
        <item x="249"/>
        <item x="251"/>
        <item x="247"/>
        <item x="60"/>
        <item x="70"/>
        <item x="493"/>
        <item x="259"/>
        <item x="499"/>
        <item x="255"/>
        <item x="72"/>
        <item x="76"/>
        <item x="58"/>
        <item x="63"/>
        <item x="405"/>
        <item x="261"/>
        <item x="268"/>
        <item x="384"/>
        <item x="66"/>
        <item x="59"/>
        <item x="267"/>
        <item x="367"/>
        <item x="359"/>
        <item x="378"/>
        <item x="80"/>
        <item x="56"/>
        <item x="79"/>
        <item x="68"/>
        <item x="67"/>
        <item x="494"/>
        <item x="62"/>
        <item x="358"/>
        <item x="2"/>
        <item x="380"/>
        <item x="64"/>
        <item x="407"/>
        <item x="55"/>
        <item x="257"/>
        <item x="357"/>
        <item x="78"/>
        <item x="464"/>
        <item x="374"/>
        <item x="349"/>
        <item x="408"/>
        <item x="491"/>
        <item x="252"/>
        <item x="381"/>
        <item x="350"/>
        <item x="371"/>
        <item x="77"/>
        <item x="368"/>
        <item x="75"/>
        <item x="65"/>
        <item x="0"/>
        <item x="57"/>
        <item x="373"/>
        <item x="225"/>
        <item x="245"/>
        <item x="377"/>
        <item x="461"/>
        <item x="246"/>
        <item x="223"/>
        <item x="497"/>
        <item x="362"/>
        <item x="454"/>
        <item x="232"/>
        <item x="238"/>
        <item x="253"/>
        <item x="254"/>
        <item x="463"/>
        <item x="224"/>
        <item x="234"/>
        <item x="465"/>
        <item x="228"/>
        <item x="241"/>
        <item x="1"/>
        <item x="355"/>
        <item x="54"/>
        <item x="496"/>
        <item x="361"/>
        <item x="365"/>
        <item x="409"/>
        <item x="356"/>
        <item x="363"/>
        <item x="366"/>
        <item x="269"/>
        <item x="360"/>
        <item x="266"/>
        <item x="243"/>
        <item x="500"/>
        <item x="372"/>
        <item x="364"/>
        <item x="235"/>
        <item x="222"/>
        <item x="456"/>
        <item x="264"/>
        <item x="495"/>
        <item x="73"/>
        <item x="233"/>
        <item x="455"/>
        <item x="240"/>
        <item x="262"/>
        <item x="354"/>
        <item x="379"/>
        <item x="370"/>
        <item x="501"/>
        <item x="220"/>
        <item x="457"/>
        <item x="221"/>
        <item x="229"/>
        <item x="231"/>
        <item x="375"/>
        <item x="492"/>
        <item x="244"/>
        <item x="61"/>
        <item x="459"/>
        <item x="230"/>
        <item x="392"/>
        <item x="403"/>
        <item x="369"/>
        <item x="227"/>
        <item x="239"/>
        <item x="402"/>
        <item x="237"/>
        <item x="242"/>
        <item x="83"/>
        <item x="219"/>
        <item x="250"/>
        <item x="404"/>
        <item x="275"/>
        <item x="376"/>
        <item x="458"/>
        <item x="81"/>
        <item x="288"/>
        <item x="452"/>
        <item x="90"/>
        <item x="82"/>
        <item x="410"/>
        <item x="236"/>
        <item x="284"/>
        <item x="498"/>
        <item x="387"/>
        <item x="502"/>
        <item x="96"/>
        <item x="263"/>
        <item x="226"/>
        <item x="97"/>
        <item x="503"/>
        <item x="274"/>
        <item x="286"/>
        <item x="469"/>
        <item x="99"/>
        <item x="279"/>
        <item x="470"/>
        <item x="472"/>
        <item x="283"/>
        <item x="100"/>
        <item x="292"/>
        <item x="278"/>
        <item x="282"/>
        <item x="103"/>
        <item x="105"/>
        <item x="256"/>
        <item x="451"/>
        <item x="285"/>
        <item x="293"/>
        <item x="471"/>
        <item x="106"/>
        <item x="248"/>
        <item x="93"/>
        <item x="7"/>
        <item x="397"/>
        <item x="98"/>
        <item x="92"/>
        <item x="281"/>
        <item x="273"/>
        <item x="89"/>
        <item x="16"/>
        <item x="18"/>
        <item x="272"/>
        <item x="416"/>
        <item x="271"/>
        <item x="88"/>
        <item x="195"/>
        <item x="25"/>
        <item x="473"/>
        <item x="385"/>
        <item x="289"/>
        <item x="280"/>
        <item x="462"/>
        <item x="294"/>
        <item x="386"/>
        <item x="467"/>
        <item x="453"/>
        <item x="290"/>
        <item x="415"/>
        <item x="12"/>
        <item x="460"/>
        <item x="8"/>
        <item x="194"/>
        <item x="17"/>
        <item x="24"/>
        <item x="201"/>
        <item x="258"/>
        <item x="95"/>
        <item x="86"/>
        <item x="389"/>
        <item x="9"/>
        <item x="205"/>
        <item x="207"/>
        <item x="13"/>
        <item x="291"/>
        <item x="4"/>
        <item x="22"/>
        <item x="193"/>
        <item x="388"/>
        <item x="6"/>
        <item x="94"/>
        <item x="211"/>
        <item x="104"/>
        <item x="202"/>
        <item x="85"/>
        <item x="102"/>
        <item x="5"/>
        <item x="87"/>
        <item x="15"/>
        <item x="107"/>
        <item x="270"/>
        <item x="26"/>
        <item x="14"/>
        <item x="214"/>
        <item x="19"/>
        <item x="417"/>
        <item x="11"/>
        <item x="390"/>
        <item x="445"/>
        <item x="198"/>
        <item x="192"/>
        <item x="287"/>
        <item x="383"/>
        <item x="448"/>
        <item x="277"/>
        <item x="21"/>
        <item x="191"/>
        <item x="213"/>
        <item x="84"/>
        <item x="203"/>
        <item x="23"/>
        <item x="447"/>
        <item x="101"/>
        <item x="3"/>
        <item x="412"/>
        <item x="276"/>
        <item x="215"/>
        <item x="260"/>
        <item x="466"/>
        <item x="212"/>
        <item x="190"/>
        <item x="210"/>
        <item x="20"/>
        <item x="299"/>
        <item x="449"/>
        <item x="199"/>
        <item x="208"/>
        <item x="414"/>
        <item x="200"/>
        <item x="189"/>
        <item x="29"/>
        <item x="474"/>
        <item x="168"/>
        <item x="91"/>
        <item x="411"/>
        <item x="468"/>
        <item x="10"/>
        <item x="110"/>
        <item x="197"/>
        <item x="298"/>
        <item x="382"/>
        <item x="393"/>
        <item x="418"/>
        <item x="297"/>
        <item x="443"/>
        <item x="391"/>
        <item x="108"/>
        <item x="413"/>
        <item x="437"/>
        <item x="109"/>
        <item x="196"/>
        <item x="186"/>
        <item x="440"/>
        <item x="442"/>
        <item x="180"/>
        <item x="171"/>
        <item x="36"/>
        <item x="166"/>
        <item x="218"/>
        <item x="28"/>
        <item x="183"/>
        <item x="174"/>
        <item x="27"/>
        <item x="439"/>
        <item x="172"/>
        <item x="450"/>
        <item x="435"/>
        <item x="164"/>
        <item x="400"/>
        <item x="188"/>
        <item x="46"/>
        <item x="163"/>
        <item x="187"/>
        <item x="178"/>
        <item x="33"/>
        <item x="175"/>
        <item x="51"/>
        <item x="441"/>
        <item x="176"/>
        <item x="217"/>
        <item x="39"/>
        <item x="398"/>
        <item x="444"/>
        <item x="53"/>
        <item x="167"/>
        <item x="52"/>
        <item x="399"/>
        <item x="40"/>
        <item x="34"/>
        <item x="48"/>
        <item x="162"/>
        <item x="216"/>
        <item x="32"/>
        <item x="31"/>
        <item x="184"/>
        <item x="401"/>
        <item x="42"/>
        <item x="44"/>
        <item x="45"/>
        <item x="49"/>
        <item x="170"/>
        <item x="173"/>
        <item x="43"/>
        <item x="181"/>
        <item x="35"/>
        <item x="41"/>
        <item x="165"/>
        <item x="50"/>
        <item x="30"/>
        <item x="185"/>
        <item x="395"/>
        <item x="47"/>
        <item x="169"/>
        <item x="434"/>
        <item x="209"/>
        <item x="38"/>
        <item x="74"/>
        <item x="37"/>
        <item x="394"/>
        <item x="436"/>
        <item x="446"/>
        <item x="406"/>
        <item x="204"/>
        <item x="396"/>
        <item x="69"/>
        <item x="206"/>
        <item x="71"/>
        <item x="485"/>
        <item x="478"/>
        <item x="327"/>
        <item x="326"/>
        <item x="329"/>
        <item x="488"/>
        <item x="332"/>
        <item x="336"/>
        <item x="348"/>
        <item x="309"/>
        <item x="303"/>
        <item x="314"/>
        <item x="302"/>
        <item x="306"/>
        <item x="343"/>
        <item x="487"/>
        <item x="480"/>
        <item x="323"/>
        <item x="313"/>
        <item x="479"/>
        <item x="318"/>
        <item x="325"/>
        <item x="483"/>
        <item x="305"/>
        <item x="335"/>
        <item x="333"/>
        <item x="296"/>
        <item x="334"/>
        <item x="347"/>
        <item x="295"/>
        <item x="344"/>
        <item x="489"/>
        <item x="312"/>
        <item x="301"/>
        <item x="311"/>
        <item x="340"/>
        <item x="310"/>
        <item x="324"/>
        <item x="476"/>
        <item x="322"/>
        <item x="319"/>
        <item x="328"/>
        <item x="346"/>
        <item x="316"/>
        <item x="481"/>
        <item x="345"/>
        <item x="300"/>
        <item x="321"/>
        <item x="331"/>
        <item x="304"/>
        <item x="117"/>
        <item x="422"/>
        <item x="320"/>
        <item x="133"/>
        <item x="308"/>
        <item x="338"/>
        <item x="125"/>
        <item x="315"/>
        <item x="113"/>
        <item x="341"/>
        <item x="112"/>
        <item x="129"/>
        <item x="123"/>
        <item x="423"/>
        <item x="121"/>
        <item x="353"/>
        <item x="424"/>
        <item x="134"/>
        <item x="126"/>
        <item x="317"/>
        <item x="127"/>
        <item x="120"/>
        <item x="124"/>
        <item x="342"/>
        <item x="115"/>
        <item x="122"/>
        <item x="420"/>
        <item x="131"/>
        <item x="114"/>
        <item x="482"/>
        <item x="116"/>
        <item x="119"/>
        <item x="484"/>
        <item x="141"/>
        <item x="475"/>
        <item x="490"/>
        <item x="111"/>
        <item x="425"/>
        <item x="130"/>
        <item x="477"/>
        <item x="486"/>
        <item x="160"/>
        <item x="429"/>
        <item x="330"/>
        <item x="352"/>
        <item x="351"/>
        <item x="339"/>
        <item x="128"/>
        <item x="147"/>
        <item x="307"/>
        <item x="337"/>
        <item x="151"/>
        <item x="137"/>
        <item x="431"/>
        <item x="156"/>
        <item x="136"/>
        <item x="149"/>
        <item x="145"/>
        <item x="432"/>
        <item x="132"/>
        <item x="153"/>
        <item x="161"/>
        <item x="139"/>
        <item x="138"/>
        <item x="158"/>
        <item x="427"/>
        <item x="144"/>
        <item x="146"/>
        <item x="118"/>
        <item x="148"/>
        <item x="143"/>
        <item x="155"/>
        <item x="140"/>
        <item x="419"/>
        <item x="433"/>
        <item x="135"/>
        <item x="157"/>
        <item x="421"/>
        <item x="154"/>
        <item x="150"/>
        <item x="159"/>
        <item x="152"/>
        <item x="182"/>
        <item x="142"/>
        <item x="426"/>
        <item x="430"/>
        <item x="428"/>
        <item x="177"/>
        <item x="179"/>
        <item x="438"/>
        <item t="default"/>
      </items>
    </pivotField>
    <pivotField axis="axisPage" showAll="0">
      <items count="7">
        <item x="5"/>
        <item x="4"/>
        <item x="2"/>
        <item x="3"/>
        <item x="1"/>
        <item x="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pageFields count="1">
    <pageField fld="8" item="5" hier="-1"/>
  </pageFields>
  <dataFields count="1">
    <dataField name="Sum of Товарооборот на склад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7" type="count" evalOrder="-1" id="6" iMeasureFld="0">
      <autoFilter ref="A1">
        <filterColumn colId="0">
          <top10 val="5" filterVal="5"/>
        </filterColumn>
      </autoFilter>
    </filter>
    <filter fld="1" type="count" evalOrder="-1" id="7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C1" workbookViewId="0">
      <selection activeCell="I2" sqref="I2"/>
    </sheetView>
  </sheetViews>
  <sheetFormatPr defaultColWidth="14.44140625" defaultRowHeight="15" customHeight="1" x14ac:dyDescent="0.3"/>
  <cols>
    <col min="1" max="1" width="10.44140625" customWidth="1"/>
    <col min="2" max="2" width="21.6640625" customWidth="1"/>
    <col min="3" max="3" width="22" customWidth="1"/>
    <col min="4" max="4" width="20.33203125" customWidth="1"/>
    <col min="5" max="7" width="22" customWidth="1"/>
    <col min="8" max="8" width="23.44140625" customWidth="1"/>
    <col min="9" max="24" width="8.6640625" customWidth="1"/>
  </cols>
  <sheetData>
    <row r="1" spans="1:24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5">
        <v>43950</v>
      </c>
      <c r="B2" s="6" t="s">
        <v>10</v>
      </c>
      <c r="C2" s="6">
        <v>29319</v>
      </c>
      <c r="D2" s="6">
        <v>2623480.5</v>
      </c>
      <c r="E2" s="7">
        <f>VLOOKUP(A2,Лист2!$A$2:$E$505,3)</f>
        <v>10</v>
      </c>
      <c r="F2" s="7">
        <f>VLOOKUP(A2,Лист2!$A$2:$E$505,4)</f>
        <v>502</v>
      </c>
      <c r="G2" s="7">
        <f>VLOOKUP(A2,Лист2!$A$2:$E$505,5)</f>
        <v>433</v>
      </c>
      <c r="H2">
        <f>D2/E2</f>
        <v>262348.05</v>
      </c>
      <c r="I2">
        <f>WEEKNUM(A2)</f>
        <v>18</v>
      </c>
    </row>
    <row r="3" spans="1:24" ht="14.25" customHeight="1" x14ac:dyDescent="0.3">
      <c r="A3" s="8">
        <v>43953</v>
      </c>
      <c r="B3" s="9" t="s">
        <v>10</v>
      </c>
      <c r="C3" s="9">
        <v>29031</v>
      </c>
      <c r="D3" s="9">
        <v>2711247</v>
      </c>
      <c r="E3" s="7">
        <f>VLOOKUP(A3,Лист2!$A$2:$E$505,3)</f>
        <v>10</v>
      </c>
      <c r="F3" s="7">
        <f>VLOOKUP(A3,Лист2!$A$2:$E$505,4)</f>
        <v>416</v>
      </c>
      <c r="G3" s="7">
        <f>VLOOKUP(A3,Лист2!$A$2:$E$505,5)</f>
        <v>341</v>
      </c>
      <c r="H3">
        <f>D3/E3</f>
        <v>271124.7</v>
      </c>
      <c r="I3">
        <f>WEEKNUM(A3)</f>
        <v>18</v>
      </c>
    </row>
    <row r="4" spans="1:24" ht="14.25" customHeight="1" x14ac:dyDescent="0.3">
      <c r="A4" s="17">
        <v>43952</v>
      </c>
      <c r="B4" s="19" t="s">
        <v>10</v>
      </c>
      <c r="C4" s="19">
        <v>32487</v>
      </c>
      <c r="D4" s="19">
        <v>3031254</v>
      </c>
      <c r="E4" s="7">
        <f>VLOOKUP(A4,Лист2!$A$2:$E$505,3)</f>
        <v>10</v>
      </c>
      <c r="F4" s="7">
        <f>VLOOKUP(A4,Лист2!$A$2:$E$505,4)</f>
        <v>554</v>
      </c>
      <c r="G4" s="7">
        <f>VLOOKUP(A4,Лист2!$A$2:$E$505,5)</f>
        <v>472</v>
      </c>
      <c r="H4">
        <f>D4/E4</f>
        <v>303125.40000000002</v>
      </c>
      <c r="I4">
        <f>WEEKNUM(A4)</f>
        <v>18</v>
      </c>
    </row>
    <row r="5" spans="1:24" ht="14.25" customHeight="1" x14ac:dyDescent="0.3">
      <c r="A5" s="18">
        <v>43949</v>
      </c>
      <c r="B5" s="20" t="s">
        <v>10</v>
      </c>
      <c r="C5" s="20">
        <v>26940</v>
      </c>
      <c r="D5" s="20">
        <v>2411587.5</v>
      </c>
      <c r="E5" s="7">
        <f>VLOOKUP(A5,Лист2!$A$2:$E$505,3)</f>
        <v>10</v>
      </c>
      <c r="F5" s="7">
        <f>VLOOKUP(A5,Лист2!$A$2:$E$505,4)</f>
        <v>580</v>
      </c>
      <c r="G5" s="7">
        <f>VLOOKUP(A5,Лист2!$A$2:$E$505,5)</f>
        <v>506</v>
      </c>
      <c r="H5">
        <f>D5/E5</f>
        <v>241158.75</v>
      </c>
      <c r="I5">
        <f>WEEKNUM(A5)</f>
        <v>18</v>
      </c>
    </row>
    <row r="6" spans="1:24" ht="14.25" customHeight="1" x14ac:dyDescent="0.3">
      <c r="A6" s="5">
        <v>43951</v>
      </c>
      <c r="B6" s="6" t="s">
        <v>10</v>
      </c>
      <c r="C6" s="6">
        <v>30445.5</v>
      </c>
      <c r="D6" s="6">
        <v>2817196.5</v>
      </c>
      <c r="E6" s="7">
        <f>VLOOKUP(A6,Лист2!$A$2:$E$505,3)</f>
        <v>10</v>
      </c>
      <c r="F6" s="7">
        <f>VLOOKUP(A6,Лист2!$A$2:$E$505,4)</f>
        <v>448</v>
      </c>
      <c r="G6" s="7">
        <f>VLOOKUP(A6,Лист2!$A$2:$E$505,5)</f>
        <v>376</v>
      </c>
      <c r="H6">
        <f>D6/E6</f>
        <v>281719.65000000002</v>
      </c>
      <c r="I6">
        <f>WEEKNUM(A6)</f>
        <v>18</v>
      </c>
    </row>
    <row r="7" spans="1:24" ht="14.25" customHeight="1" x14ac:dyDescent="0.3">
      <c r="A7" s="8">
        <v>43950</v>
      </c>
      <c r="B7" s="9" t="s">
        <v>11</v>
      </c>
      <c r="C7" s="9">
        <v>79527</v>
      </c>
      <c r="D7" s="9">
        <v>7180498.5</v>
      </c>
      <c r="E7" s="7">
        <f>VLOOKUP(A7,Лист2!$A$2:$E$505,3)</f>
        <v>10</v>
      </c>
      <c r="F7" s="7">
        <f>VLOOKUP(A7,Лист2!$A$2:$E$505,4)</f>
        <v>502</v>
      </c>
      <c r="G7" s="7">
        <f>VLOOKUP(A7,Лист2!$A$2:$E$505,5)</f>
        <v>433</v>
      </c>
      <c r="H7">
        <f>D7/E7</f>
        <v>718049.85</v>
      </c>
      <c r="I7">
        <f>WEEKNUM(A7)</f>
        <v>18</v>
      </c>
    </row>
    <row r="8" spans="1:24" ht="14.25" customHeight="1" x14ac:dyDescent="0.3">
      <c r="A8" s="5">
        <v>43953</v>
      </c>
      <c r="B8" s="6" t="s">
        <v>11</v>
      </c>
      <c r="C8" s="6">
        <v>60463.5</v>
      </c>
      <c r="D8" s="6">
        <v>5554192.5</v>
      </c>
      <c r="E8" s="7">
        <f>VLOOKUP(A8,Лист2!$A$2:$E$505,3)</f>
        <v>10</v>
      </c>
      <c r="F8" s="7">
        <f>VLOOKUP(A8,Лист2!$A$2:$E$505,4)</f>
        <v>416</v>
      </c>
      <c r="G8" s="7">
        <f>VLOOKUP(A8,Лист2!$A$2:$E$505,5)</f>
        <v>341</v>
      </c>
      <c r="H8">
        <f>D8/E8</f>
        <v>555419.25</v>
      </c>
      <c r="I8">
        <f>WEEKNUM(A8)</f>
        <v>18</v>
      </c>
    </row>
    <row r="9" spans="1:24" ht="14.25" customHeight="1" x14ac:dyDescent="0.3">
      <c r="A9" s="18">
        <v>43952</v>
      </c>
      <c r="B9" s="20" t="s">
        <v>11</v>
      </c>
      <c r="C9" s="20">
        <v>97534.5</v>
      </c>
      <c r="D9" s="20">
        <v>8893024.5</v>
      </c>
      <c r="E9" s="7">
        <f>VLOOKUP(A9,Лист2!$A$2:$E$505,3)</f>
        <v>10</v>
      </c>
      <c r="F9" s="7">
        <f>VLOOKUP(A9,Лист2!$A$2:$E$505,4)</f>
        <v>554</v>
      </c>
      <c r="G9" s="7">
        <f>VLOOKUP(A9,Лист2!$A$2:$E$505,5)</f>
        <v>472</v>
      </c>
      <c r="H9">
        <f>D9/E9</f>
        <v>889302.45</v>
      </c>
      <c r="I9">
        <f>WEEKNUM(A9)</f>
        <v>18</v>
      </c>
    </row>
    <row r="10" spans="1:24" ht="14.25" customHeight="1" x14ac:dyDescent="0.3">
      <c r="A10" s="17">
        <v>43949</v>
      </c>
      <c r="B10" s="19" t="s">
        <v>11</v>
      </c>
      <c r="C10" s="19">
        <v>81826.5</v>
      </c>
      <c r="D10" s="19">
        <v>7163644.5</v>
      </c>
      <c r="E10" s="7">
        <f>VLOOKUP(A10,Лист2!$A$2:$E$505,3)</f>
        <v>10</v>
      </c>
      <c r="F10" s="7">
        <f>VLOOKUP(A10,Лист2!$A$2:$E$505,4)</f>
        <v>580</v>
      </c>
      <c r="G10" s="7">
        <f>VLOOKUP(A10,Лист2!$A$2:$E$505,5)</f>
        <v>506</v>
      </c>
      <c r="H10">
        <f>D10/E10</f>
        <v>716364.45</v>
      </c>
      <c r="I10">
        <f>WEEKNUM(A10)</f>
        <v>18</v>
      </c>
    </row>
    <row r="11" spans="1:24" ht="14.25" customHeight="1" x14ac:dyDescent="0.3">
      <c r="A11" s="8">
        <v>43951</v>
      </c>
      <c r="B11" s="9" t="s">
        <v>11</v>
      </c>
      <c r="C11" s="9">
        <v>77565</v>
      </c>
      <c r="D11" s="9">
        <v>7023727.5</v>
      </c>
      <c r="E11" s="7">
        <f>VLOOKUP(A11,Лист2!$A$2:$E$505,3)</f>
        <v>10</v>
      </c>
      <c r="F11" s="7">
        <f>VLOOKUP(A11,Лист2!$A$2:$E$505,4)</f>
        <v>448</v>
      </c>
      <c r="G11" s="7">
        <f>VLOOKUP(A11,Лист2!$A$2:$E$505,5)</f>
        <v>376</v>
      </c>
      <c r="H11">
        <f>D11/E11</f>
        <v>702372.75</v>
      </c>
      <c r="I11">
        <f>WEEKNUM(A11)</f>
        <v>18</v>
      </c>
    </row>
    <row r="12" spans="1:24" ht="14.25" customHeight="1" x14ac:dyDescent="0.3">
      <c r="A12" s="17">
        <v>43950</v>
      </c>
      <c r="B12" s="19" t="s">
        <v>12</v>
      </c>
      <c r="C12" s="19">
        <v>10840.5</v>
      </c>
      <c r="D12" s="19">
        <v>797919</v>
      </c>
      <c r="E12" s="7">
        <f>VLOOKUP(A12,Лист2!$A$2:$E$505,3)</f>
        <v>10</v>
      </c>
      <c r="F12" s="7">
        <f>VLOOKUP(A12,Лист2!$A$2:$E$505,4)</f>
        <v>502</v>
      </c>
      <c r="G12" s="7">
        <f>VLOOKUP(A12,Лист2!$A$2:$E$505,5)</f>
        <v>433</v>
      </c>
      <c r="H12">
        <f>D12/E12</f>
        <v>79791.899999999994</v>
      </c>
      <c r="I12">
        <f>WEEKNUM(A12)</f>
        <v>18</v>
      </c>
    </row>
    <row r="13" spans="1:24" ht="14.25" customHeight="1" x14ac:dyDescent="0.3">
      <c r="A13" s="18">
        <v>43953</v>
      </c>
      <c r="B13" s="20" t="s">
        <v>12</v>
      </c>
      <c r="C13" s="20">
        <v>7866</v>
      </c>
      <c r="D13" s="20">
        <v>617881.5</v>
      </c>
      <c r="E13" s="7">
        <f>VLOOKUP(A13,Лист2!$A$2:$E$505,3)</f>
        <v>10</v>
      </c>
      <c r="F13" s="7">
        <f>VLOOKUP(A13,Лист2!$A$2:$E$505,4)</f>
        <v>416</v>
      </c>
      <c r="G13" s="7">
        <f>VLOOKUP(A13,Лист2!$A$2:$E$505,5)</f>
        <v>341</v>
      </c>
      <c r="H13">
        <f>D13/E13</f>
        <v>61788.15</v>
      </c>
      <c r="I13">
        <f>WEEKNUM(A13)</f>
        <v>18</v>
      </c>
    </row>
    <row r="14" spans="1:24" ht="14.25" customHeight="1" x14ac:dyDescent="0.3">
      <c r="A14" s="5">
        <v>43952</v>
      </c>
      <c r="B14" s="6" t="s">
        <v>12</v>
      </c>
      <c r="C14" s="6">
        <v>11619</v>
      </c>
      <c r="D14" s="6">
        <v>891139.5</v>
      </c>
      <c r="E14" s="7">
        <f>VLOOKUP(A14,Лист2!$A$2:$E$505,3)</f>
        <v>10</v>
      </c>
      <c r="F14" s="7">
        <f>VLOOKUP(A14,Лист2!$A$2:$E$505,4)</f>
        <v>554</v>
      </c>
      <c r="G14" s="7">
        <f>VLOOKUP(A14,Лист2!$A$2:$E$505,5)</f>
        <v>472</v>
      </c>
      <c r="H14">
        <f>D14/E14</f>
        <v>89113.95</v>
      </c>
      <c r="I14">
        <f>WEEKNUM(A14)</f>
        <v>18</v>
      </c>
    </row>
    <row r="15" spans="1:24" ht="14.25" customHeight="1" x14ac:dyDescent="0.3">
      <c r="A15" s="8">
        <v>43949</v>
      </c>
      <c r="B15" s="9" t="s">
        <v>12</v>
      </c>
      <c r="C15" s="9">
        <v>12331.5</v>
      </c>
      <c r="D15" s="9">
        <v>869983.5</v>
      </c>
      <c r="E15" s="7">
        <f>VLOOKUP(A15,Лист2!$A$2:$E$505,3)</f>
        <v>10</v>
      </c>
      <c r="F15" s="7">
        <f>VLOOKUP(A15,Лист2!$A$2:$E$505,4)</f>
        <v>580</v>
      </c>
      <c r="G15" s="7">
        <f>VLOOKUP(A15,Лист2!$A$2:$E$505,5)</f>
        <v>506</v>
      </c>
      <c r="H15">
        <f>D15/E15</f>
        <v>86998.35</v>
      </c>
      <c r="I15">
        <f>WEEKNUM(A15)</f>
        <v>18</v>
      </c>
    </row>
    <row r="16" spans="1:24" ht="14.25" customHeight="1" x14ac:dyDescent="0.3">
      <c r="A16" s="5">
        <v>43951</v>
      </c>
      <c r="B16" s="6" t="s">
        <v>12</v>
      </c>
      <c r="C16" s="6">
        <v>8934</v>
      </c>
      <c r="D16" s="6">
        <v>716196</v>
      </c>
      <c r="E16" s="7">
        <f>VLOOKUP(A16,Лист2!$A$2:$E$505,3)</f>
        <v>10</v>
      </c>
      <c r="F16" s="7">
        <f>VLOOKUP(A16,Лист2!$A$2:$E$505,4)</f>
        <v>448</v>
      </c>
      <c r="G16" s="7">
        <f>VLOOKUP(A16,Лист2!$A$2:$E$505,5)</f>
        <v>376</v>
      </c>
      <c r="H16">
        <f>D16/E16</f>
        <v>71619.600000000006</v>
      </c>
      <c r="I16">
        <f>WEEKNUM(A16)</f>
        <v>18</v>
      </c>
    </row>
    <row r="17" spans="1:9" ht="14.25" customHeight="1" x14ac:dyDescent="0.3">
      <c r="A17" s="8">
        <v>43950</v>
      </c>
      <c r="B17" s="9" t="s">
        <v>13</v>
      </c>
      <c r="C17" s="9">
        <v>25917</v>
      </c>
      <c r="D17" s="9">
        <v>2397588</v>
      </c>
      <c r="E17" s="7">
        <f>VLOOKUP(A17,Лист2!$A$2:$E$505,3)</f>
        <v>10</v>
      </c>
      <c r="F17" s="7">
        <f>VLOOKUP(A17,Лист2!$A$2:$E$505,4)</f>
        <v>502</v>
      </c>
      <c r="G17" s="7">
        <f>VLOOKUP(A17,Лист2!$A$2:$E$505,5)</f>
        <v>433</v>
      </c>
      <c r="H17">
        <f>D17/E17</f>
        <v>239758.8</v>
      </c>
      <c r="I17">
        <f>WEEKNUM(A17)</f>
        <v>18</v>
      </c>
    </row>
    <row r="18" spans="1:9" ht="14.25" customHeight="1" x14ac:dyDescent="0.3">
      <c r="A18" s="5">
        <v>43953</v>
      </c>
      <c r="B18" s="6" t="s">
        <v>13</v>
      </c>
      <c r="C18" s="6">
        <v>19461</v>
      </c>
      <c r="D18" s="6">
        <v>1799230.5</v>
      </c>
      <c r="E18" s="7">
        <f>VLOOKUP(A18,Лист2!$A$2:$E$505,3)</f>
        <v>10</v>
      </c>
      <c r="F18" s="7">
        <f>VLOOKUP(A18,Лист2!$A$2:$E$505,4)</f>
        <v>416</v>
      </c>
      <c r="G18" s="7">
        <f>VLOOKUP(A18,Лист2!$A$2:$E$505,5)</f>
        <v>341</v>
      </c>
      <c r="H18">
        <f>D18/E18</f>
        <v>179923.05</v>
      </c>
      <c r="I18">
        <f>WEEKNUM(A18)</f>
        <v>18</v>
      </c>
    </row>
    <row r="19" spans="1:9" ht="14.25" customHeight="1" x14ac:dyDescent="0.3">
      <c r="A19" s="18">
        <v>43952</v>
      </c>
      <c r="B19" s="20" t="s">
        <v>13</v>
      </c>
      <c r="C19" s="20">
        <v>25792.5</v>
      </c>
      <c r="D19" s="20">
        <v>2374356</v>
      </c>
      <c r="E19" s="7">
        <f>VLOOKUP(A19,Лист2!$A$2:$E$505,3)</f>
        <v>10</v>
      </c>
      <c r="F19" s="7">
        <f>VLOOKUP(A19,Лист2!$A$2:$E$505,4)</f>
        <v>554</v>
      </c>
      <c r="G19" s="7">
        <f>VLOOKUP(A19,Лист2!$A$2:$E$505,5)</f>
        <v>472</v>
      </c>
      <c r="H19">
        <f>D19/E19</f>
        <v>237435.6</v>
      </c>
      <c r="I19">
        <f>WEEKNUM(A19)</f>
        <v>18</v>
      </c>
    </row>
    <row r="20" spans="1:9" ht="14.25" customHeight="1" x14ac:dyDescent="0.3">
      <c r="A20" s="17">
        <v>43949</v>
      </c>
      <c r="B20" s="19" t="s">
        <v>13</v>
      </c>
      <c r="C20" s="19">
        <v>23314.5</v>
      </c>
      <c r="D20" s="19">
        <v>2136817.5</v>
      </c>
      <c r="E20" s="7">
        <f>VLOOKUP(A20,Лист2!$A$2:$E$505,3)</f>
        <v>10</v>
      </c>
      <c r="F20" s="7">
        <f>VLOOKUP(A20,Лист2!$A$2:$E$505,4)</f>
        <v>580</v>
      </c>
      <c r="G20" s="7">
        <f>VLOOKUP(A20,Лист2!$A$2:$E$505,5)</f>
        <v>506</v>
      </c>
      <c r="H20">
        <f>D20/E20</f>
        <v>213681.75</v>
      </c>
      <c r="I20">
        <f>WEEKNUM(A20)</f>
        <v>18</v>
      </c>
    </row>
    <row r="21" spans="1:9" ht="14.25" customHeight="1" x14ac:dyDescent="0.3">
      <c r="A21" s="8">
        <v>43951</v>
      </c>
      <c r="B21" s="9" t="s">
        <v>13</v>
      </c>
      <c r="C21" s="9">
        <v>24211.5</v>
      </c>
      <c r="D21" s="9">
        <v>2267664</v>
      </c>
      <c r="E21" s="7">
        <f>VLOOKUP(A21,Лист2!$A$2:$E$505,3)</f>
        <v>10</v>
      </c>
      <c r="F21" s="7">
        <f>VLOOKUP(A21,Лист2!$A$2:$E$505,4)</f>
        <v>448</v>
      </c>
      <c r="G21" s="7">
        <f>VLOOKUP(A21,Лист2!$A$2:$E$505,5)</f>
        <v>376</v>
      </c>
      <c r="H21">
        <f>D21/E21</f>
        <v>226766.4</v>
      </c>
      <c r="I21">
        <f>WEEKNUM(A21)</f>
        <v>18</v>
      </c>
    </row>
    <row r="22" spans="1:9" ht="14.25" customHeight="1" x14ac:dyDescent="0.3">
      <c r="A22" s="5">
        <v>43950</v>
      </c>
      <c r="B22" s="6" t="s">
        <v>14</v>
      </c>
      <c r="C22" s="6">
        <v>298059</v>
      </c>
      <c r="D22" s="6">
        <v>30869287.5</v>
      </c>
      <c r="E22" s="7">
        <f>VLOOKUP(A22,Лист2!$A$2:$E$505,3)</f>
        <v>10</v>
      </c>
      <c r="F22" s="7">
        <f>VLOOKUP(A22,Лист2!$A$2:$E$505,4)</f>
        <v>502</v>
      </c>
      <c r="G22" s="7">
        <f>VLOOKUP(A22,Лист2!$A$2:$E$505,5)</f>
        <v>433</v>
      </c>
      <c r="H22">
        <f>D22/E22</f>
        <v>3086928.75</v>
      </c>
      <c r="I22">
        <f>WEEKNUM(A22)</f>
        <v>18</v>
      </c>
    </row>
    <row r="23" spans="1:9" ht="14.25" customHeight="1" x14ac:dyDescent="0.3">
      <c r="A23" s="8">
        <v>43953</v>
      </c>
      <c r="B23" s="9" t="s">
        <v>14</v>
      </c>
      <c r="C23" s="9">
        <v>232903.5</v>
      </c>
      <c r="D23" s="9">
        <v>24342016.5</v>
      </c>
      <c r="E23" s="7">
        <f>VLOOKUP(A23,Лист2!$A$2:$E$505,3)</f>
        <v>10</v>
      </c>
      <c r="F23" s="7">
        <f>VLOOKUP(A23,Лист2!$A$2:$E$505,4)</f>
        <v>416</v>
      </c>
      <c r="G23" s="7">
        <f>VLOOKUP(A23,Лист2!$A$2:$E$505,5)</f>
        <v>341</v>
      </c>
      <c r="H23">
        <f>D23/E23</f>
        <v>2434201.65</v>
      </c>
      <c r="I23">
        <f>WEEKNUM(A23)</f>
        <v>18</v>
      </c>
    </row>
    <row r="24" spans="1:9" ht="14.25" customHeight="1" x14ac:dyDescent="0.3">
      <c r="A24" s="17">
        <v>43952</v>
      </c>
      <c r="B24" s="19" t="s">
        <v>14</v>
      </c>
      <c r="C24" s="19">
        <v>296149.5</v>
      </c>
      <c r="D24" s="19">
        <v>31053316.5</v>
      </c>
      <c r="E24" s="7">
        <f>VLOOKUP(A24,Лист2!$A$2:$E$505,3)</f>
        <v>10</v>
      </c>
      <c r="F24" s="7">
        <f>VLOOKUP(A24,Лист2!$A$2:$E$505,4)</f>
        <v>554</v>
      </c>
      <c r="G24" s="7">
        <f>VLOOKUP(A24,Лист2!$A$2:$E$505,5)</f>
        <v>472</v>
      </c>
      <c r="H24">
        <f>D24/E24</f>
        <v>3105331.65</v>
      </c>
      <c r="I24">
        <f>WEEKNUM(A24)</f>
        <v>18</v>
      </c>
    </row>
    <row r="25" spans="1:9" ht="14.25" customHeight="1" x14ac:dyDescent="0.3">
      <c r="A25" s="18">
        <v>43949</v>
      </c>
      <c r="B25" s="20" t="s">
        <v>14</v>
      </c>
      <c r="C25" s="20">
        <v>286002</v>
      </c>
      <c r="D25" s="20">
        <v>29159032.5</v>
      </c>
      <c r="E25" s="7">
        <f>VLOOKUP(A25,Лист2!$A$2:$E$505,3)</f>
        <v>10</v>
      </c>
      <c r="F25" s="7">
        <f>VLOOKUP(A25,Лист2!$A$2:$E$505,4)</f>
        <v>580</v>
      </c>
      <c r="G25" s="7">
        <f>VLOOKUP(A25,Лист2!$A$2:$E$505,5)</f>
        <v>506</v>
      </c>
      <c r="H25">
        <f>D25/E25</f>
        <v>2915903.25</v>
      </c>
      <c r="I25">
        <f>WEEKNUM(A25)</f>
        <v>18</v>
      </c>
    </row>
    <row r="26" spans="1:9" ht="14.25" customHeight="1" x14ac:dyDescent="0.3">
      <c r="A26" s="5">
        <v>43951</v>
      </c>
      <c r="B26" s="6" t="s">
        <v>14</v>
      </c>
      <c r="C26" s="6">
        <v>311131.5</v>
      </c>
      <c r="D26" s="6">
        <v>32418879</v>
      </c>
      <c r="E26" s="7">
        <f>VLOOKUP(A26,Лист2!$A$2:$E$505,3)</f>
        <v>10</v>
      </c>
      <c r="F26" s="7">
        <f>VLOOKUP(A26,Лист2!$A$2:$E$505,4)</f>
        <v>448</v>
      </c>
      <c r="G26" s="7">
        <f>VLOOKUP(A26,Лист2!$A$2:$E$505,5)</f>
        <v>376</v>
      </c>
      <c r="H26">
        <f>D26/E26</f>
        <v>3241887.9</v>
      </c>
      <c r="I26">
        <f>WEEKNUM(A26)</f>
        <v>18</v>
      </c>
    </row>
    <row r="27" spans="1:9" ht="14.25" customHeight="1" x14ac:dyDescent="0.3">
      <c r="A27" s="18">
        <v>43950</v>
      </c>
      <c r="B27" s="20" t="s">
        <v>15</v>
      </c>
      <c r="C27" s="20">
        <v>387220.5</v>
      </c>
      <c r="D27" s="20">
        <v>41559384</v>
      </c>
      <c r="E27" s="7">
        <f>VLOOKUP(A27,Лист2!$A$2:$E$505,3)</f>
        <v>10</v>
      </c>
      <c r="F27" s="7">
        <f>VLOOKUP(A27,Лист2!$A$2:$E$505,4)</f>
        <v>502</v>
      </c>
      <c r="G27" s="7">
        <f>VLOOKUP(A27,Лист2!$A$2:$E$505,5)</f>
        <v>433</v>
      </c>
      <c r="H27">
        <f>D27/E27</f>
        <v>4155938.4</v>
      </c>
      <c r="I27">
        <f>WEEKNUM(A27)</f>
        <v>18</v>
      </c>
    </row>
    <row r="28" spans="1:9" ht="14.25" customHeight="1" x14ac:dyDescent="0.3">
      <c r="A28" s="17">
        <v>43953</v>
      </c>
      <c r="B28" s="19" t="s">
        <v>15</v>
      </c>
      <c r="C28" s="19">
        <v>296580</v>
      </c>
      <c r="D28" s="19">
        <v>31843737</v>
      </c>
      <c r="E28" s="7">
        <f>VLOOKUP(A28,Лист2!$A$2:$E$505,3)</f>
        <v>10</v>
      </c>
      <c r="F28" s="7">
        <f>VLOOKUP(A28,Лист2!$A$2:$E$505,4)</f>
        <v>416</v>
      </c>
      <c r="G28" s="7">
        <f>VLOOKUP(A28,Лист2!$A$2:$E$505,5)</f>
        <v>341</v>
      </c>
      <c r="H28">
        <f>D28/E28</f>
        <v>3184373.7</v>
      </c>
      <c r="I28">
        <f>WEEKNUM(A28)</f>
        <v>18</v>
      </c>
    </row>
    <row r="29" spans="1:9" ht="14.25" customHeight="1" x14ac:dyDescent="0.3">
      <c r="A29" s="8">
        <v>43952</v>
      </c>
      <c r="B29" s="9" t="s">
        <v>15</v>
      </c>
      <c r="C29" s="9">
        <v>372504</v>
      </c>
      <c r="D29" s="9">
        <v>40077193.5</v>
      </c>
      <c r="E29" s="7">
        <f>VLOOKUP(A29,Лист2!$A$2:$E$505,3)</f>
        <v>10</v>
      </c>
      <c r="F29" s="7">
        <f>VLOOKUP(A29,Лист2!$A$2:$E$505,4)</f>
        <v>554</v>
      </c>
      <c r="G29" s="7">
        <f>VLOOKUP(A29,Лист2!$A$2:$E$505,5)</f>
        <v>472</v>
      </c>
      <c r="H29">
        <f>D29/E29</f>
        <v>4007719.35</v>
      </c>
      <c r="I29">
        <f>WEEKNUM(A29)</f>
        <v>18</v>
      </c>
    </row>
    <row r="30" spans="1:9" ht="14.25" customHeight="1" x14ac:dyDescent="0.3">
      <c r="A30" s="5">
        <v>43949</v>
      </c>
      <c r="B30" s="6" t="s">
        <v>15</v>
      </c>
      <c r="C30" s="6">
        <v>376060.5</v>
      </c>
      <c r="D30" s="6">
        <v>39918028.5</v>
      </c>
      <c r="E30" s="7">
        <f>VLOOKUP(A30,Лист2!$A$2:$E$505,3)</f>
        <v>10</v>
      </c>
      <c r="F30" s="7">
        <f>VLOOKUP(A30,Лист2!$A$2:$E$505,4)</f>
        <v>580</v>
      </c>
      <c r="G30" s="7">
        <f>VLOOKUP(A30,Лист2!$A$2:$E$505,5)</f>
        <v>506</v>
      </c>
      <c r="H30">
        <f>D30/E30</f>
        <v>3991802.85</v>
      </c>
      <c r="I30">
        <f>WEEKNUM(A30)</f>
        <v>18</v>
      </c>
    </row>
    <row r="31" spans="1:9" ht="14.25" customHeight="1" x14ac:dyDescent="0.3">
      <c r="A31" s="8">
        <v>43951</v>
      </c>
      <c r="B31" s="9" t="s">
        <v>15</v>
      </c>
      <c r="C31" s="9">
        <v>401580</v>
      </c>
      <c r="D31" s="9">
        <v>43028734.5</v>
      </c>
      <c r="E31" s="7">
        <f>VLOOKUP(A31,Лист2!$A$2:$E$505,3)</f>
        <v>10</v>
      </c>
      <c r="F31" s="7">
        <f>VLOOKUP(A31,Лист2!$A$2:$E$505,4)</f>
        <v>448</v>
      </c>
      <c r="G31" s="7">
        <f>VLOOKUP(A31,Лист2!$A$2:$E$505,5)</f>
        <v>376</v>
      </c>
      <c r="H31">
        <f>D31/E31</f>
        <v>4302873.45</v>
      </c>
      <c r="I31">
        <f>WEEKNUM(A31)</f>
        <v>18</v>
      </c>
    </row>
    <row r="32" spans="1:9" ht="14.25" customHeight="1" x14ac:dyDescent="0.3">
      <c r="A32" s="17">
        <v>43950</v>
      </c>
      <c r="B32" s="19" t="s">
        <v>16</v>
      </c>
      <c r="C32" s="19">
        <v>74707.5</v>
      </c>
      <c r="D32" s="19">
        <v>6454458</v>
      </c>
      <c r="E32" s="7">
        <f>VLOOKUP(A32,Лист2!$A$2:$E$505,3)</f>
        <v>10</v>
      </c>
      <c r="F32" s="7">
        <f>VLOOKUP(A32,Лист2!$A$2:$E$505,4)</f>
        <v>502</v>
      </c>
      <c r="G32" s="7">
        <f>VLOOKUP(A32,Лист2!$A$2:$E$505,5)</f>
        <v>433</v>
      </c>
      <c r="H32">
        <f>D32/E32</f>
        <v>645445.80000000005</v>
      </c>
      <c r="I32">
        <f>WEEKNUM(A32)</f>
        <v>18</v>
      </c>
    </row>
    <row r="33" spans="1:9" ht="14.25" customHeight="1" x14ac:dyDescent="0.3">
      <c r="A33" s="18">
        <v>43953</v>
      </c>
      <c r="B33" s="20" t="s">
        <v>16</v>
      </c>
      <c r="C33" s="20">
        <v>46216.5</v>
      </c>
      <c r="D33" s="20">
        <v>4118251.5</v>
      </c>
      <c r="E33" s="7">
        <f>VLOOKUP(A33,Лист2!$A$2:$E$505,3)</f>
        <v>10</v>
      </c>
      <c r="F33" s="7">
        <f>VLOOKUP(A33,Лист2!$A$2:$E$505,4)</f>
        <v>416</v>
      </c>
      <c r="G33" s="7">
        <f>VLOOKUP(A33,Лист2!$A$2:$E$505,5)</f>
        <v>341</v>
      </c>
      <c r="H33">
        <f>D33/E33</f>
        <v>411825.15</v>
      </c>
      <c r="I33">
        <f>WEEKNUM(A33)</f>
        <v>18</v>
      </c>
    </row>
    <row r="34" spans="1:9" ht="14.25" customHeight="1" x14ac:dyDescent="0.3">
      <c r="A34" s="5">
        <v>43952</v>
      </c>
      <c r="B34" s="6" t="s">
        <v>16</v>
      </c>
      <c r="C34" s="6">
        <v>82228.5</v>
      </c>
      <c r="D34" s="6">
        <v>7032225</v>
      </c>
      <c r="E34" s="7">
        <f>VLOOKUP(A34,Лист2!$A$2:$E$505,3)</f>
        <v>10</v>
      </c>
      <c r="F34" s="7">
        <f>VLOOKUP(A34,Лист2!$A$2:$E$505,4)</f>
        <v>554</v>
      </c>
      <c r="G34" s="7">
        <f>VLOOKUP(A34,Лист2!$A$2:$E$505,5)</f>
        <v>472</v>
      </c>
      <c r="H34">
        <f>D34/E34</f>
        <v>703222.5</v>
      </c>
      <c r="I34">
        <f>WEEKNUM(A34)</f>
        <v>18</v>
      </c>
    </row>
    <row r="35" spans="1:9" ht="14.25" customHeight="1" x14ac:dyDescent="0.3">
      <c r="A35" s="8">
        <v>43949</v>
      </c>
      <c r="B35" s="9" t="s">
        <v>16</v>
      </c>
      <c r="C35" s="9">
        <v>73147.5</v>
      </c>
      <c r="D35" s="9">
        <v>6288246</v>
      </c>
      <c r="E35" s="7">
        <f>VLOOKUP(A35,Лист2!$A$2:$E$505,3)</f>
        <v>10</v>
      </c>
      <c r="F35" s="7">
        <f>VLOOKUP(A35,Лист2!$A$2:$E$505,4)</f>
        <v>580</v>
      </c>
      <c r="G35" s="7">
        <f>VLOOKUP(A35,Лист2!$A$2:$E$505,5)</f>
        <v>506</v>
      </c>
      <c r="H35">
        <f>D35/E35</f>
        <v>628824.6</v>
      </c>
      <c r="I35">
        <f>WEEKNUM(A35)</f>
        <v>18</v>
      </c>
    </row>
    <row r="36" spans="1:9" ht="14.25" customHeight="1" x14ac:dyDescent="0.3">
      <c r="A36" s="5">
        <v>43951</v>
      </c>
      <c r="B36" s="6" t="s">
        <v>16</v>
      </c>
      <c r="C36" s="6">
        <v>78235.5</v>
      </c>
      <c r="D36" s="6">
        <v>6819594</v>
      </c>
      <c r="E36" s="7">
        <f>VLOOKUP(A36,Лист2!$A$2:$E$505,3)</f>
        <v>10</v>
      </c>
      <c r="F36" s="7">
        <f>VLOOKUP(A36,Лист2!$A$2:$E$505,4)</f>
        <v>448</v>
      </c>
      <c r="G36" s="7">
        <f>VLOOKUP(A36,Лист2!$A$2:$E$505,5)</f>
        <v>376</v>
      </c>
      <c r="H36">
        <f>D36/E36</f>
        <v>681959.4</v>
      </c>
      <c r="I36">
        <f>WEEKNUM(A36)</f>
        <v>18</v>
      </c>
    </row>
    <row r="37" spans="1:9" ht="14.25" customHeight="1" x14ac:dyDescent="0.3">
      <c r="A37" s="18">
        <v>43950</v>
      </c>
      <c r="B37" s="20" t="s">
        <v>17</v>
      </c>
      <c r="C37" s="20">
        <v>29142</v>
      </c>
      <c r="D37" s="20">
        <v>2627595</v>
      </c>
      <c r="E37" s="7">
        <f>VLOOKUP(A37,Лист2!$A$2:$E$505,3)</f>
        <v>10</v>
      </c>
      <c r="F37" s="7">
        <f>VLOOKUP(A37,Лист2!$A$2:$E$505,4)</f>
        <v>502</v>
      </c>
      <c r="G37" s="7">
        <f>VLOOKUP(A37,Лист2!$A$2:$E$505,5)</f>
        <v>433</v>
      </c>
      <c r="H37">
        <f>D37/E37</f>
        <v>262759.5</v>
      </c>
      <c r="I37">
        <f>WEEKNUM(A37)</f>
        <v>18</v>
      </c>
    </row>
    <row r="38" spans="1:9" ht="14.25" customHeight="1" x14ac:dyDescent="0.3">
      <c r="A38" s="17">
        <v>43953</v>
      </c>
      <c r="B38" s="19" t="s">
        <v>17</v>
      </c>
      <c r="C38" s="19">
        <v>26428.5</v>
      </c>
      <c r="D38" s="19">
        <v>2470465.5</v>
      </c>
      <c r="E38" s="7">
        <f>VLOOKUP(A38,Лист2!$A$2:$E$505,3)</f>
        <v>10</v>
      </c>
      <c r="F38" s="7">
        <f>VLOOKUP(A38,Лист2!$A$2:$E$505,4)</f>
        <v>416</v>
      </c>
      <c r="G38" s="7">
        <f>VLOOKUP(A38,Лист2!$A$2:$E$505,5)</f>
        <v>341</v>
      </c>
      <c r="H38">
        <f>D38/E38</f>
        <v>247046.55</v>
      </c>
      <c r="I38">
        <f>WEEKNUM(A38)</f>
        <v>18</v>
      </c>
    </row>
    <row r="39" spans="1:9" ht="14.25" customHeight="1" x14ac:dyDescent="0.3">
      <c r="A39" s="8">
        <v>43952</v>
      </c>
      <c r="B39" s="9" t="s">
        <v>17</v>
      </c>
      <c r="C39" s="9">
        <v>46620</v>
      </c>
      <c r="D39" s="9">
        <v>4293241.5</v>
      </c>
      <c r="E39" s="7">
        <f>VLOOKUP(A39,Лист2!$A$2:$E$505,3)</f>
        <v>10</v>
      </c>
      <c r="F39" s="7">
        <f>VLOOKUP(A39,Лист2!$A$2:$E$505,4)</f>
        <v>554</v>
      </c>
      <c r="G39" s="7">
        <f>VLOOKUP(A39,Лист2!$A$2:$E$505,5)</f>
        <v>472</v>
      </c>
      <c r="H39">
        <f>D39/E39</f>
        <v>429324.15</v>
      </c>
      <c r="I39">
        <f>WEEKNUM(A39)</f>
        <v>18</v>
      </c>
    </row>
    <row r="40" spans="1:9" ht="14.25" customHeight="1" x14ac:dyDescent="0.3">
      <c r="A40" s="5">
        <v>43949</v>
      </c>
      <c r="B40" s="6" t="s">
        <v>17</v>
      </c>
      <c r="C40" s="6">
        <v>32181</v>
      </c>
      <c r="D40" s="6">
        <v>2863600.5</v>
      </c>
      <c r="E40" s="7">
        <f>VLOOKUP(A40,Лист2!$A$2:$E$505,3)</f>
        <v>10</v>
      </c>
      <c r="F40" s="7">
        <f>VLOOKUP(A40,Лист2!$A$2:$E$505,4)</f>
        <v>580</v>
      </c>
      <c r="G40" s="7">
        <f>VLOOKUP(A40,Лист2!$A$2:$E$505,5)</f>
        <v>506</v>
      </c>
      <c r="H40">
        <f>D40/E40</f>
        <v>286360.05</v>
      </c>
      <c r="I40">
        <f>WEEKNUM(A40)</f>
        <v>18</v>
      </c>
    </row>
    <row r="41" spans="1:9" ht="14.25" customHeight="1" x14ac:dyDescent="0.3">
      <c r="A41" s="8">
        <v>43951</v>
      </c>
      <c r="B41" s="9" t="s">
        <v>17</v>
      </c>
      <c r="C41" s="9">
        <v>31231.5</v>
      </c>
      <c r="D41" s="9">
        <v>2853310.5</v>
      </c>
      <c r="E41" s="7">
        <f>VLOOKUP(A41,Лист2!$A$2:$E$505,3)</f>
        <v>10</v>
      </c>
      <c r="F41" s="7">
        <f>VLOOKUP(A41,Лист2!$A$2:$E$505,4)</f>
        <v>448</v>
      </c>
      <c r="G41" s="7">
        <f>VLOOKUP(A41,Лист2!$A$2:$E$505,5)</f>
        <v>376</v>
      </c>
      <c r="H41">
        <f>D41/E41</f>
        <v>285331.05</v>
      </c>
      <c r="I41">
        <f>WEEKNUM(A41)</f>
        <v>18</v>
      </c>
    </row>
    <row r="42" spans="1:9" ht="14.25" customHeight="1" x14ac:dyDescent="0.3">
      <c r="A42" s="5">
        <v>43950</v>
      </c>
      <c r="B42" s="6" t="s">
        <v>18</v>
      </c>
      <c r="C42" s="6">
        <v>13014</v>
      </c>
      <c r="D42" s="6">
        <v>1115992.5</v>
      </c>
      <c r="E42" s="7">
        <f>VLOOKUP(A42,Лист2!$A$2:$E$505,3)</f>
        <v>10</v>
      </c>
      <c r="F42" s="7">
        <f>VLOOKUP(A42,Лист2!$A$2:$E$505,4)</f>
        <v>502</v>
      </c>
      <c r="G42" s="7">
        <f>VLOOKUP(A42,Лист2!$A$2:$E$505,5)</f>
        <v>433</v>
      </c>
      <c r="H42">
        <f>D42/E42</f>
        <v>111599.25</v>
      </c>
      <c r="I42">
        <f>WEEKNUM(A42)</f>
        <v>18</v>
      </c>
    </row>
    <row r="43" spans="1:9" ht="14.25" customHeight="1" x14ac:dyDescent="0.3">
      <c r="A43" s="8">
        <v>43953</v>
      </c>
      <c r="B43" s="9" t="s">
        <v>18</v>
      </c>
      <c r="C43" s="9">
        <v>12313.5</v>
      </c>
      <c r="D43" s="9">
        <v>1053220.5</v>
      </c>
      <c r="E43" s="7">
        <f>VLOOKUP(A43,Лист2!$A$2:$E$505,3)</f>
        <v>10</v>
      </c>
      <c r="F43" s="7">
        <f>VLOOKUP(A43,Лист2!$A$2:$E$505,4)</f>
        <v>416</v>
      </c>
      <c r="G43" s="7">
        <f>VLOOKUP(A43,Лист2!$A$2:$E$505,5)</f>
        <v>341</v>
      </c>
      <c r="H43">
        <f>D43/E43</f>
        <v>105322.05</v>
      </c>
      <c r="I43">
        <f>WEEKNUM(A43)</f>
        <v>18</v>
      </c>
    </row>
    <row r="44" spans="1:9" ht="14.25" customHeight="1" x14ac:dyDescent="0.3">
      <c r="A44" s="17">
        <v>43952</v>
      </c>
      <c r="B44" s="19" t="s">
        <v>18</v>
      </c>
      <c r="C44" s="19">
        <v>17113.5</v>
      </c>
      <c r="D44" s="19">
        <v>1465842</v>
      </c>
      <c r="E44" s="7">
        <f>VLOOKUP(A44,Лист2!$A$2:$E$505,3)</f>
        <v>10</v>
      </c>
      <c r="F44" s="7">
        <f>VLOOKUP(A44,Лист2!$A$2:$E$505,4)</f>
        <v>554</v>
      </c>
      <c r="G44" s="7">
        <f>VLOOKUP(A44,Лист2!$A$2:$E$505,5)</f>
        <v>472</v>
      </c>
      <c r="H44">
        <f>D44/E44</f>
        <v>146584.20000000001</v>
      </c>
      <c r="I44">
        <f>WEEKNUM(A44)</f>
        <v>18</v>
      </c>
    </row>
    <row r="45" spans="1:9" ht="14.25" customHeight="1" x14ac:dyDescent="0.3">
      <c r="A45" s="18">
        <v>43949</v>
      </c>
      <c r="B45" s="20" t="s">
        <v>18</v>
      </c>
      <c r="C45" s="20">
        <v>13303.5</v>
      </c>
      <c r="D45" s="20">
        <v>1102887</v>
      </c>
      <c r="E45" s="7">
        <f>VLOOKUP(A45,Лист2!$A$2:$E$505,3)</f>
        <v>10</v>
      </c>
      <c r="F45" s="7">
        <f>VLOOKUP(A45,Лист2!$A$2:$E$505,4)</f>
        <v>580</v>
      </c>
      <c r="G45" s="7">
        <f>VLOOKUP(A45,Лист2!$A$2:$E$505,5)</f>
        <v>506</v>
      </c>
      <c r="H45">
        <f>D45/E45</f>
        <v>110288.7</v>
      </c>
      <c r="I45">
        <f>WEEKNUM(A45)</f>
        <v>18</v>
      </c>
    </row>
    <row r="46" spans="1:9" ht="14.25" customHeight="1" x14ac:dyDescent="0.3">
      <c r="A46" s="5">
        <v>43951</v>
      </c>
      <c r="B46" s="6" t="s">
        <v>18</v>
      </c>
      <c r="C46" s="6">
        <v>12753</v>
      </c>
      <c r="D46" s="6">
        <v>1103068.5</v>
      </c>
      <c r="E46" s="7">
        <f>VLOOKUP(A46,Лист2!$A$2:$E$505,3)</f>
        <v>10</v>
      </c>
      <c r="F46" s="7">
        <f>VLOOKUP(A46,Лист2!$A$2:$E$505,4)</f>
        <v>448</v>
      </c>
      <c r="G46" s="7">
        <f>VLOOKUP(A46,Лист2!$A$2:$E$505,5)</f>
        <v>376</v>
      </c>
      <c r="H46">
        <f>D46/E46</f>
        <v>110306.85</v>
      </c>
      <c r="I46">
        <f>WEEKNUM(A46)</f>
        <v>18</v>
      </c>
    </row>
    <row r="47" spans="1:9" ht="14.25" customHeight="1" x14ac:dyDescent="0.3">
      <c r="A47" s="18">
        <v>43950</v>
      </c>
      <c r="B47" s="20" t="s">
        <v>20</v>
      </c>
      <c r="C47" s="20">
        <v>25816.5</v>
      </c>
      <c r="D47" s="20">
        <v>2360914.5</v>
      </c>
      <c r="E47" s="7">
        <f>VLOOKUP(A47,Лист2!$A$2:$E$505,3)</f>
        <v>10</v>
      </c>
      <c r="F47" s="7">
        <f>VLOOKUP(A47,Лист2!$A$2:$E$505,4)</f>
        <v>502</v>
      </c>
      <c r="G47" s="7">
        <f>VLOOKUP(A47,Лист2!$A$2:$E$505,5)</f>
        <v>433</v>
      </c>
      <c r="H47">
        <f>D47/E47</f>
        <v>236091.45</v>
      </c>
      <c r="I47">
        <f>WEEKNUM(A47)</f>
        <v>18</v>
      </c>
    </row>
    <row r="48" spans="1:9" ht="14.25" customHeight="1" x14ac:dyDescent="0.3">
      <c r="A48" s="17">
        <v>43953</v>
      </c>
      <c r="B48" s="19" t="s">
        <v>19</v>
      </c>
      <c r="C48" s="19">
        <v>4624.5</v>
      </c>
      <c r="D48" s="19">
        <v>433243.5</v>
      </c>
      <c r="E48" s="7">
        <f>VLOOKUP(A48,Лист2!$A$2:$E$505,3)</f>
        <v>10</v>
      </c>
      <c r="F48" s="7">
        <f>VLOOKUP(A48,Лист2!$A$2:$E$505,4)</f>
        <v>416</v>
      </c>
      <c r="G48" s="7">
        <f>VLOOKUP(A48,Лист2!$A$2:$E$505,5)</f>
        <v>341</v>
      </c>
      <c r="H48">
        <f>D48/E48</f>
        <v>43324.35</v>
      </c>
      <c r="I48">
        <f>WEEKNUM(A48)</f>
        <v>18</v>
      </c>
    </row>
    <row r="49" spans="1:9" ht="14.25" customHeight="1" x14ac:dyDescent="0.3">
      <c r="A49" s="8">
        <v>43952</v>
      </c>
      <c r="B49" s="9" t="s">
        <v>19</v>
      </c>
      <c r="C49" s="9">
        <v>5446.5</v>
      </c>
      <c r="D49" s="9">
        <v>505572</v>
      </c>
      <c r="E49" s="7">
        <f>VLOOKUP(A49,Лист2!$A$2:$E$505,3)</f>
        <v>10</v>
      </c>
      <c r="F49" s="7">
        <f>VLOOKUP(A49,Лист2!$A$2:$E$505,4)</f>
        <v>554</v>
      </c>
      <c r="G49" s="7">
        <f>VLOOKUP(A49,Лист2!$A$2:$E$505,5)</f>
        <v>472</v>
      </c>
      <c r="H49">
        <f>D49/E49</f>
        <v>50557.2</v>
      </c>
      <c r="I49">
        <f>WEEKNUM(A49)</f>
        <v>18</v>
      </c>
    </row>
    <row r="50" spans="1:9" ht="14.25" customHeight="1" x14ac:dyDescent="0.3">
      <c r="A50" s="5">
        <v>43949</v>
      </c>
      <c r="B50" s="6" t="s">
        <v>20</v>
      </c>
      <c r="C50" s="6">
        <v>25149</v>
      </c>
      <c r="D50" s="6">
        <v>2277072</v>
      </c>
      <c r="E50" s="7">
        <f>VLOOKUP(A50,Лист2!$A$2:$E$505,3)</f>
        <v>10</v>
      </c>
      <c r="F50" s="7">
        <f>VLOOKUP(A50,Лист2!$A$2:$E$505,4)</f>
        <v>580</v>
      </c>
      <c r="G50" s="7">
        <f>VLOOKUP(A50,Лист2!$A$2:$E$505,5)</f>
        <v>506</v>
      </c>
      <c r="H50">
        <f>D50/E50</f>
        <v>227707.2</v>
      </c>
      <c r="I50">
        <f>WEEKNUM(A50)</f>
        <v>18</v>
      </c>
    </row>
    <row r="51" spans="1:9" ht="14.25" customHeight="1" x14ac:dyDescent="0.3">
      <c r="A51" s="8">
        <v>43951</v>
      </c>
      <c r="B51" s="9" t="s">
        <v>19</v>
      </c>
      <c r="C51" s="9">
        <v>4285.5</v>
      </c>
      <c r="D51" s="9">
        <v>404691</v>
      </c>
      <c r="E51" s="7">
        <f>VLOOKUP(A51,Лист2!$A$2:$E$505,3)</f>
        <v>10</v>
      </c>
      <c r="F51" s="7">
        <f>VLOOKUP(A51,Лист2!$A$2:$E$505,4)</f>
        <v>448</v>
      </c>
      <c r="G51" s="7">
        <f>VLOOKUP(A51,Лист2!$A$2:$E$505,5)</f>
        <v>376</v>
      </c>
      <c r="H51">
        <f>D51/E51</f>
        <v>40469.1</v>
      </c>
      <c r="I51">
        <f>WEEKNUM(A51)</f>
        <v>18</v>
      </c>
    </row>
    <row r="52" spans="1:9" ht="14.25" customHeight="1" x14ac:dyDescent="0.3">
      <c r="A52" s="17">
        <v>43953</v>
      </c>
      <c r="B52" s="19" t="s">
        <v>20</v>
      </c>
      <c r="C52" s="19">
        <v>18427.5</v>
      </c>
      <c r="D52" s="19">
        <v>1682851.5</v>
      </c>
      <c r="E52" s="7">
        <f>VLOOKUP(A52,Лист2!$A$2:$E$505,3)</f>
        <v>10</v>
      </c>
      <c r="F52" s="7">
        <f>VLOOKUP(A52,Лист2!$A$2:$E$505,4)</f>
        <v>416</v>
      </c>
      <c r="G52" s="7">
        <f>VLOOKUP(A52,Лист2!$A$2:$E$505,5)</f>
        <v>341</v>
      </c>
      <c r="H52">
        <f>D52/E52</f>
        <v>168285.15</v>
      </c>
      <c r="I52">
        <f>WEEKNUM(A52)</f>
        <v>18</v>
      </c>
    </row>
    <row r="53" spans="1:9" ht="14.25" customHeight="1" x14ac:dyDescent="0.3">
      <c r="A53" s="8">
        <v>43952</v>
      </c>
      <c r="B53" s="9" t="s">
        <v>20</v>
      </c>
      <c r="C53" s="9">
        <v>35190</v>
      </c>
      <c r="D53" s="9">
        <v>3168510</v>
      </c>
      <c r="E53" s="7">
        <f>VLOOKUP(A53,Лист2!$A$2:$E$505,3)</f>
        <v>10</v>
      </c>
      <c r="F53" s="7">
        <f>VLOOKUP(A53,Лист2!$A$2:$E$505,4)</f>
        <v>554</v>
      </c>
      <c r="G53" s="7">
        <f>VLOOKUP(A53,Лист2!$A$2:$E$505,5)</f>
        <v>472</v>
      </c>
      <c r="H53">
        <f>D53/E53</f>
        <v>316851</v>
      </c>
      <c r="I53">
        <f>WEEKNUM(A53)</f>
        <v>18</v>
      </c>
    </row>
    <row r="54" spans="1:9" ht="14.25" customHeight="1" x14ac:dyDescent="0.3">
      <c r="A54" s="5">
        <v>43951</v>
      </c>
      <c r="B54" s="6" t="s">
        <v>20</v>
      </c>
      <c r="C54" s="6">
        <v>27883.5</v>
      </c>
      <c r="D54" s="6">
        <v>2560080</v>
      </c>
      <c r="E54" s="7">
        <f>VLOOKUP(A54,Лист2!$A$2:$E$505,3)</f>
        <v>10</v>
      </c>
      <c r="F54" s="7">
        <f>VLOOKUP(A54,Лист2!$A$2:$E$505,4)</f>
        <v>448</v>
      </c>
      <c r="G54" s="7">
        <f>VLOOKUP(A54,Лист2!$A$2:$E$505,5)</f>
        <v>376</v>
      </c>
      <c r="H54">
        <f>D54/E54</f>
        <v>256008</v>
      </c>
      <c r="I54">
        <f>WEEKNUM(A54)</f>
        <v>18</v>
      </c>
    </row>
    <row r="55" spans="1:9" ht="14.25" customHeight="1" x14ac:dyDescent="0.3">
      <c r="A55" s="8">
        <v>43950</v>
      </c>
      <c r="B55" s="9" t="s">
        <v>21</v>
      </c>
      <c r="C55" s="9">
        <v>208351.5</v>
      </c>
      <c r="D55" s="9">
        <v>21615333</v>
      </c>
      <c r="E55" s="7">
        <f>VLOOKUP(A55,Лист2!$A$2:$E$505,3)</f>
        <v>10</v>
      </c>
      <c r="F55" s="7">
        <f>VLOOKUP(A55,Лист2!$A$2:$E$505,4)</f>
        <v>502</v>
      </c>
      <c r="G55" s="7">
        <f>VLOOKUP(A55,Лист2!$A$2:$E$505,5)</f>
        <v>433</v>
      </c>
      <c r="H55">
        <f>D55/E55</f>
        <v>2161533.2999999998</v>
      </c>
      <c r="I55">
        <f>WEEKNUM(A55)</f>
        <v>18</v>
      </c>
    </row>
    <row r="56" spans="1:9" ht="14.25" customHeight="1" x14ac:dyDescent="0.3">
      <c r="A56" s="5">
        <v>43949</v>
      </c>
      <c r="B56" s="6" t="s">
        <v>21</v>
      </c>
      <c r="C56" s="6">
        <v>204637.5</v>
      </c>
      <c r="D56" s="6">
        <v>21114898.5</v>
      </c>
      <c r="E56" s="7">
        <f>VLOOKUP(A56,Лист2!$A$2:$E$505,3)</f>
        <v>10</v>
      </c>
      <c r="F56" s="7">
        <f>VLOOKUP(A56,Лист2!$A$2:$E$505,4)</f>
        <v>580</v>
      </c>
      <c r="G56" s="7">
        <f>VLOOKUP(A56,Лист2!$A$2:$E$505,5)</f>
        <v>506</v>
      </c>
      <c r="H56">
        <f>D56/E56</f>
        <v>2111489.85</v>
      </c>
      <c r="I56">
        <f>WEEKNUM(A56)</f>
        <v>18</v>
      </c>
    </row>
    <row r="57" spans="1:9" ht="14.25" customHeight="1" x14ac:dyDescent="0.3">
      <c r="A57" s="8">
        <v>43950</v>
      </c>
      <c r="B57" s="9" t="s">
        <v>22</v>
      </c>
      <c r="C57" s="9">
        <v>203209.5</v>
      </c>
      <c r="D57" s="9">
        <v>20871391.5</v>
      </c>
      <c r="E57" s="7">
        <f>VLOOKUP(A57,Лист2!$A$2:$E$505,3)</f>
        <v>10</v>
      </c>
      <c r="F57" s="7">
        <f>VLOOKUP(A57,Лист2!$A$2:$E$505,4)</f>
        <v>502</v>
      </c>
      <c r="G57" s="7">
        <f>VLOOKUP(A57,Лист2!$A$2:$E$505,5)</f>
        <v>433</v>
      </c>
      <c r="H57">
        <f>D57/E57</f>
        <v>2087139.15</v>
      </c>
      <c r="I57">
        <f>WEEKNUM(A57)</f>
        <v>18</v>
      </c>
    </row>
    <row r="58" spans="1:9" ht="14.25" customHeight="1" x14ac:dyDescent="0.3">
      <c r="A58" s="5">
        <v>43953</v>
      </c>
      <c r="B58" s="6" t="s">
        <v>21</v>
      </c>
      <c r="C58" s="6">
        <v>185979</v>
      </c>
      <c r="D58" s="6">
        <v>19625364</v>
      </c>
      <c r="E58" s="7">
        <f>VLOOKUP(A58,Лист2!$A$2:$E$505,3)</f>
        <v>10</v>
      </c>
      <c r="F58" s="7">
        <f>VLOOKUP(A58,Лист2!$A$2:$E$505,4)</f>
        <v>416</v>
      </c>
      <c r="G58" s="7">
        <f>VLOOKUP(A58,Лист2!$A$2:$E$505,5)</f>
        <v>341</v>
      </c>
      <c r="H58">
        <f>D58/E58</f>
        <v>1962536.4</v>
      </c>
      <c r="I58">
        <f>WEEKNUM(A58)</f>
        <v>18</v>
      </c>
    </row>
    <row r="59" spans="1:9" ht="14.25" customHeight="1" x14ac:dyDescent="0.3">
      <c r="A59" s="18">
        <v>43952</v>
      </c>
      <c r="B59" s="20" t="s">
        <v>21</v>
      </c>
      <c r="C59" s="20">
        <v>239409</v>
      </c>
      <c r="D59" s="20">
        <v>25413351</v>
      </c>
      <c r="E59" s="7">
        <f>VLOOKUP(A59,Лист2!$A$2:$E$505,3)</f>
        <v>10</v>
      </c>
      <c r="F59" s="7">
        <f>VLOOKUP(A59,Лист2!$A$2:$E$505,4)</f>
        <v>554</v>
      </c>
      <c r="G59" s="7">
        <f>VLOOKUP(A59,Лист2!$A$2:$E$505,5)</f>
        <v>472</v>
      </c>
      <c r="H59">
        <f>D59/E59</f>
        <v>2541335.1</v>
      </c>
      <c r="I59">
        <f>WEEKNUM(A59)</f>
        <v>18</v>
      </c>
    </row>
    <row r="60" spans="1:9" ht="14.25" customHeight="1" x14ac:dyDescent="0.3">
      <c r="A60" s="17">
        <v>43949</v>
      </c>
      <c r="B60" s="19" t="s">
        <v>22</v>
      </c>
      <c r="C60" s="19">
        <v>195705</v>
      </c>
      <c r="D60" s="19">
        <v>20003263.5</v>
      </c>
      <c r="E60" s="7">
        <f>VLOOKUP(A60,Лист2!$A$2:$E$505,3)</f>
        <v>10</v>
      </c>
      <c r="F60" s="7">
        <f>VLOOKUP(A60,Лист2!$A$2:$E$505,4)</f>
        <v>580</v>
      </c>
      <c r="G60" s="7">
        <f>VLOOKUP(A60,Лист2!$A$2:$E$505,5)</f>
        <v>506</v>
      </c>
      <c r="H60">
        <f>D60/E60</f>
        <v>2000326.35</v>
      </c>
      <c r="I60">
        <f>WEEKNUM(A60)</f>
        <v>18</v>
      </c>
    </row>
    <row r="61" spans="1:9" ht="14.25" customHeight="1" x14ac:dyDescent="0.3">
      <c r="A61" s="8">
        <v>43951</v>
      </c>
      <c r="B61" s="9" t="s">
        <v>21</v>
      </c>
      <c r="C61" s="9">
        <v>214386</v>
      </c>
      <c r="D61" s="9">
        <v>22530000</v>
      </c>
      <c r="E61" s="7">
        <f>VLOOKUP(A61,Лист2!$A$2:$E$505,3)</f>
        <v>10</v>
      </c>
      <c r="F61" s="7">
        <f>VLOOKUP(A61,Лист2!$A$2:$E$505,4)</f>
        <v>448</v>
      </c>
      <c r="G61" s="7">
        <f>VLOOKUP(A61,Лист2!$A$2:$E$505,5)</f>
        <v>376</v>
      </c>
      <c r="H61">
        <f>D61/E61</f>
        <v>2253000</v>
      </c>
      <c r="I61">
        <f>WEEKNUM(A61)</f>
        <v>18</v>
      </c>
    </row>
    <row r="62" spans="1:9" ht="14.25" customHeight="1" x14ac:dyDescent="0.3">
      <c r="A62" s="17">
        <v>43953</v>
      </c>
      <c r="B62" s="19" t="s">
        <v>22</v>
      </c>
      <c r="C62" s="19">
        <v>176397</v>
      </c>
      <c r="D62" s="19">
        <v>18625921.5</v>
      </c>
      <c r="E62" s="7">
        <f>VLOOKUP(A62,Лист2!$A$2:$E$505,3)</f>
        <v>10</v>
      </c>
      <c r="F62" s="7">
        <f>VLOOKUP(A62,Лист2!$A$2:$E$505,4)</f>
        <v>416</v>
      </c>
      <c r="G62" s="7">
        <f>VLOOKUP(A62,Лист2!$A$2:$E$505,5)</f>
        <v>341</v>
      </c>
      <c r="H62">
        <f>D62/E62</f>
        <v>1862592.15</v>
      </c>
      <c r="I62">
        <f>WEEKNUM(A62)</f>
        <v>18</v>
      </c>
    </row>
    <row r="63" spans="1:9" ht="14.25" customHeight="1" x14ac:dyDescent="0.3">
      <c r="A63" s="8">
        <v>43952</v>
      </c>
      <c r="B63" s="9" t="s">
        <v>22</v>
      </c>
      <c r="C63" s="9">
        <v>226540.5</v>
      </c>
      <c r="D63" s="9">
        <v>23953536</v>
      </c>
      <c r="E63" s="7">
        <f>VLOOKUP(A63,Лист2!$A$2:$E$505,3)</f>
        <v>10</v>
      </c>
      <c r="F63" s="7">
        <f>VLOOKUP(A63,Лист2!$A$2:$E$505,4)</f>
        <v>554</v>
      </c>
      <c r="G63" s="7">
        <f>VLOOKUP(A63,Лист2!$A$2:$E$505,5)</f>
        <v>472</v>
      </c>
      <c r="H63">
        <f>D63/E63</f>
        <v>2395353.6</v>
      </c>
      <c r="I63">
        <f>WEEKNUM(A63)</f>
        <v>18</v>
      </c>
    </row>
    <row r="64" spans="1:9" ht="14.25" customHeight="1" x14ac:dyDescent="0.3">
      <c r="A64" s="5">
        <v>43951</v>
      </c>
      <c r="B64" s="6" t="s">
        <v>22</v>
      </c>
      <c r="C64" s="6">
        <v>206038.5</v>
      </c>
      <c r="D64" s="6">
        <v>21740460</v>
      </c>
      <c r="E64" s="7">
        <f>VLOOKUP(A64,Лист2!$A$2:$E$505,3)</f>
        <v>10</v>
      </c>
      <c r="F64" s="7">
        <f>VLOOKUP(A64,Лист2!$A$2:$E$505,4)</f>
        <v>448</v>
      </c>
      <c r="G64" s="7">
        <f>VLOOKUP(A64,Лист2!$A$2:$E$505,5)</f>
        <v>376</v>
      </c>
      <c r="H64">
        <f>D64/E64</f>
        <v>2174046</v>
      </c>
      <c r="I64">
        <f>WEEKNUM(A64)</f>
        <v>18</v>
      </c>
    </row>
    <row r="65" spans="1:9" ht="14.25" customHeight="1" x14ac:dyDescent="0.3">
      <c r="A65" s="8">
        <v>43950</v>
      </c>
      <c r="B65" s="9" t="s">
        <v>23</v>
      </c>
      <c r="C65" s="9">
        <v>12250.5</v>
      </c>
      <c r="D65" s="9">
        <v>981519</v>
      </c>
      <c r="E65" s="7">
        <f>VLOOKUP(A65,Лист2!$A$2:$E$505,3)</f>
        <v>10</v>
      </c>
      <c r="F65" s="7">
        <f>VLOOKUP(A65,Лист2!$A$2:$E$505,4)</f>
        <v>502</v>
      </c>
      <c r="G65" s="7">
        <f>VLOOKUP(A65,Лист2!$A$2:$E$505,5)</f>
        <v>433</v>
      </c>
      <c r="H65">
        <f>D65/E65</f>
        <v>98151.9</v>
      </c>
      <c r="I65">
        <f>WEEKNUM(A65)</f>
        <v>18</v>
      </c>
    </row>
    <row r="66" spans="1:9" ht="14.25" customHeight="1" x14ac:dyDescent="0.3">
      <c r="A66" s="5">
        <v>43949</v>
      </c>
      <c r="B66" s="6" t="s">
        <v>23</v>
      </c>
      <c r="C66" s="6">
        <v>12541.5</v>
      </c>
      <c r="D66" s="6">
        <v>992541</v>
      </c>
      <c r="E66" s="7">
        <f>VLOOKUP(A66,Лист2!$A$2:$E$505,3)</f>
        <v>10</v>
      </c>
      <c r="F66" s="7">
        <f>VLOOKUP(A66,Лист2!$A$2:$E$505,4)</f>
        <v>580</v>
      </c>
      <c r="G66" s="7">
        <f>VLOOKUP(A66,Лист2!$A$2:$E$505,5)</f>
        <v>506</v>
      </c>
      <c r="H66">
        <f>D66/E66</f>
        <v>99254.1</v>
      </c>
      <c r="I66">
        <f>WEEKNUM(A66)</f>
        <v>18</v>
      </c>
    </row>
    <row r="67" spans="1:9" ht="14.25" customHeight="1" x14ac:dyDescent="0.3">
      <c r="A67" s="8">
        <v>43953</v>
      </c>
      <c r="B67" s="9" t="s">
        <v>23</v>
      </c>
      <c r="C67" s="9">
        <v>10018.5</v>
      </c>
      <c r="D67" s="9">
        <v>816859.5</v>
      </c>
      <c r="E67" s="7">
        <f>VLOOKUP(A67,Лист2!$A$2:$E$505,3)</f>
        <v>10</v>
      </c>
      <c r="F67" s="7">
        <f>VLOOKUP(A67,Лист2!$A$2:$E$505,4)</f>
        <v>416</v>
      </c>
      <c r="G67" s="7">
        <f>VLOOKUP(A67,Лист2!$A$2:$E$505,5)</f>
        <v>341</v>
      </c>
      <c r="H67">
        <f>D67/E67</f>
        <v>81685.95</v>
      </c>
      <c r="I67">
        <f>WEEKNUM(A67)</f>
        <v>18</v>
      </c>
    </row>
    <row r="68" spans="1:9" ht="14.25" customHeight="1" x14ac:dyDescent="0.3">
      <c r="A68" s="17">
        <v>43952</v>
      </c>
      <c r="B68" s="19" t="s">
        <v>23</v>
      </c>
      <c r="C68" s="19">
        <v>13644</v>
      </c>
      <c r="D68" s="19">
        <v>1134444</v>
      </c>
      <c r="E68" s="7">
        <f>VLOOKUP(A68,Лист2!$A$2:$E$505,3)</f>
        <v>10</v>
      </c>
      <c r="F68" s="7">
        <f>VLOOKUP(A68,Лист2!$A$2:$E$505,4)</f>
        <v>554</v>
      </c>
      <c r="G68" s="7">
        <f>VLOOKUP(A68,Лист2!$A$2:$E$505,5)</f>
        <v>472</v>
      </c>
      <c r="H68">
        <f>D68/E68</f>
        <v>113444.4</v>
      </c>
      <c r="I68">
        <f>WEEKNUM(A68)</f>
        <v>18</v>
      </c>
    </row>
    <row r="69" spans="1:9" ht="14.25" customHeight="1" x14ac:dyDescent="0.3">
      <c r="A69" s="8">
        <v>43951</v>
      </c>
      <c r="B69" s="9" t="s">
        <v>23</v>
      </c>
      <c r="C69" s="9">
        <v>11976</v>
      </c>
      <c r="D69" s="9">
        <v>1004511</v>
      </c>
      <c r="E69" s="7">
        <f>VLOOKUP(A69,Лист2!$A$2:$E$505,3)</f>
        <v>10</v>
      </c>
      <c r="F69" s="7">
        <f>VLOOKUP(A69,Лист2!$A$2:$E$505,4)</f>
        <v>448</v>
      </c>
      <c r="G69" s="7">
        <f>VLOOKUP(A69,Лист2!$A$2:$E$505,5)</f>
        <v>376</v>
      </c>
      <c r="H69">
        <f>D69/E69</f>
        <v>100451.1</v>
      </c>
      <c r="I69">
        <f>WEEKNUM(A69)</f>
        <v>18</v>
      </c>
    </row>
    <row r="70" spans="1:9" ht="14.25" customHeight="1" x14ac:dyDescent="0.3">
      <c r="A70" s="5">
        <v>43960</v>
      </c>
      <c r="B70" s="6" t="s">
        <v>10</v>
      </c>
      <c r="C70" s="6">
        <v>31147.5</v>
      </c>
      <c r="D70" s="6">
        <v>2831019</v>
      </c>
      <c r="E70" s="7">
        <f>VLOOKUP(A70,Лист2!$A$2:$E$505,3)</f>
        <v>10</v>
      </c>
      <c r="F70" s="7">
        <f>VLOOKUP(A70,Лист2!$A$2:$E$505,4)</f>
        <v>644</v>
      </c>
      <c r="G70" s="7">
        <f>VLOOKUP(A70,Лист2!$A$2:$E$505,5)</f>
        <v>559</v>
      </c>
      <c r="H70">
        <f>D70/E70</f>
        <v>283101.90000000002</v>
      </c>
      <c r="I70">
        <f>WEEKNUM(A70)</f>
        <v>19</v>
      </c>
    </row>
    <row r="71" spans="1:9" ht="14.25" customHeight="1" x14ac:dyDescent="0.3">
      <c r="A71" s="8">
        <v>43955</v>
      </c>
      <c r="B71" s="9" t="s">
        <v>10</v>
      </c>
      <c r="C71" s="9">
        <v>25566</v>
      </c>
      <c r="D71" s="9">
        <v>2372310</v>
      </c>
      <c r="E71" s="7">
        <f>VLOOKUP(A71,Лист2!$A$2:$E$505,3)</f>
        <v>10</v>
      </c>
      <c r="F71" s="7">
        <f>VLOOKUP(A71,Лист2!$A$2:$E$505,4)</f>
        <v>462</v>
      </c>
      <c r="G71" s="7">
        <f>VLOOKUP(A71,Лист2!$A$2:$E$505,5)</f>
        <v>396</v>
      </c>
      <c r="H71">
        <f>D71/E71</f>
        <v>237231</v>
      </c>
      <c r="I71">
        <f>WEEKNUM(A71)</f>
        <v>19</v>
      </c>
    </row>
    <row r="72" spans="1:9" ht="14.25" customHeight="1" x14ac:dyDescent="0.3">
      <c r="A72" s="17">
        <v>43956</v>
      </c>
      <c r="B72" s="19" t="s">
        <v>10</v>
      </c>
      <c r="C72" s="19">
        <v>31566</v>
      </c>
      <c r="D72" s="19">
        <v>2906763</v>
      </c>
      <c r="E72" s="7">
        <f>VLOOKUP(A72,Лист2!$A$2:$E$505,3)</f>
        <v>10</v>
      </c>
      <c r="F72" s="7">
        <f>VLOOKUP(A72,Лист2!$A$2:$E$505,4)</f>
        <v>511</v>
      </c>
      <c r="G72" s="7">
        <f>VLOOKUP(A72,Лист2!$A$2:$E$505,5)</f>
        <v>437</v>
      </c>
      <c r="H72">
        <f>D72/E72</f>
        <v>290676.3</v>
      </c>
      <c r="I72">
        <f>WEEKNUM(A72)</f>
        <v>19</v>
      </c>
    </row>
    <row r="73" spans="1:9" ht="14.25" customHeight="1" x14ac:dyDescent="0.3">
      <c r="A73" s="18">
        <v>43954</v>
      </c>
      <c r="B73" s="20" t="s">
        <v>10</v>
      </c>
      <c r="C73" s="20">
        <v>26082</v>
      </c>
      <c r="D73" s="20">
        <v>2434914</v>
      </c>
      <c r="E73" s="7">
        <f>VLOOKUP(A73,Лист2!$A$2:$E$505,3)</f>
        <v>10</v>
      </c>
      <c r="F73" s="7">
        <f>VLOOKUP(A73,Лист2!$A$2:$E$505,4)</f>
        <v>402</v>
      </c>
      <c r="G73" s="7">
        <f>VLOOKUP(A73,Лист2!$A$2:$E$505,5)</f>
        <v>333</v>
      </c>
      <c r="H73">
        <f>D73/E73</f>
        <v>243491.4</v>
      </c>
      <c r="I73">
        <f>WEEKNUM(A73)</f>
        <v>19</v>
      </c>
    </row>
    <row r="74" spans="1:9" ht="14.25" customHeight="1" x14ac:dyDescent="0.3">
      <c r="A74" s="17">
        <v>43957</v>
      </c>
      <c r="B74" s="19" t="s">
        <v>10</v>
      </c>
      <c r="C74" s="19">
        <v>32511</v>
      </c>
      <c r="D74" s="19">
        <v>2938623</v>
      </c>
      <c r="E74" s="7">
        <f>VLOOKUP(A74,Лист2!$A$2:$E$505,3)</f>
        <v>10</v>
      </c>
      <c r="F74" s="7">
        <f>VLOOKUP(A74,Лист2!$A$2:$E$505,4)</f>
        <v>465</v>
      </c>
      <c r="G74" s="7">
        <f>VLOOKUP(A74,Лист2!$A$2:$E$505,5)</f>
        <v>390</v>
      </c>
      <c r="H74">
        <f>D74/E74</f>
        <v>293862.3</v>
      </c>
      <c r="I74">
        <f>WEEKNUM(A74)</f>
        <v>19</v>
      </c>
    </row>
    <row r="75" spans="1:9" ht="14.25" customHeight="1" x14ac:dyDescent="0.3">
      <c r="A75" s="18">
        <v>43959</v>
      </c>
      <c r="B75" s="20" t="s">
        <v>10</v>
      </c>
      <c r="C75" s="20">
        <v>29409</v>
      </c>
      <c r="D75" s="20">
        <v>2645160</v>
      </c>
      <c r="E75" s="7">
        <f>VLOOKUP(A75,Лист2!$A$2:$E$505,3)</f>
        <v>10</v>
      </c>
      <c r="F75" s="7">
        <f>VLOOKUP(A75,Лист2!$A$2:$E$505,4)</f>
        <v>638</v>
      </c>
      <c r="G75" s="7">
        <f>VLOOKUP(A75,Лист2!$A$2:$E$505,5)</f>
        <v>547</v>
      </c>
      <c r="H75">
        <f>D75/E75</f>
        <v>264516</v>
      </c>
      <c r="I75">
        <f>WEEKNUM(A75)</f>
        <v>19</v>
      </c>
    </row>
    <row r="76" spans="1:9" ht="14.25" customHeight="1" x14ac:dyDescent="0.3">
      <c r="A76" s="17">
        <v>43958</v>
      </c>
      <c r="B76" s="19" t="s">
        <v>10</v>
      </c>
      <c r="C76" s="19">
        <v>27018</v>
      </c>
      <c r="D76" s="19">
        <v>2472213</v>
      </c>
      <c r="E76" s="7">
        <f>VLOOKUP(A76,Лист2!$A$2:$E$505,3)</f>
        <v>10</v>
      </c>
      <c r="F76" s="7">
        <f>VLOOKUP(A76,Лист2!$A$2:$E$505,4)</f>
        <v>563</v>
      </c>
      <c r="G76" s="7">
        <f>VLOOKUP(A76,Лист2!$A$2:$E$505,5)</f>
        <v>486</v>
      </c>
      <c r="H76">
        <f>D76/E76</f>
        <v>247221.3</v>
      </c>
      <c r="I76">
        <f>WEEKNUM(A76)</f>
        <v>19</v>
      </c>
    </row>
    <row r="77" spans="1:9" ht="14.25" customHeight="1" x14ac:dyDescent="0.3">
      <c r="A77" s="8">
        <v>43960</v>
      </c>
      <c r="B77" s="9" t="s">
        <v>11</v>
      </c>
      <c r="C77" s="9">
        <v>69720</v>
      </c>
      <c r="D77" s="9">
        <v>6264933</v>
      </c>
      <c r="E77" s="7">
        <f>VLOOKUP(A77,Лист2!$A$2:$E$505,3)</f>
        <v>10</v>
      </c>
      <c r="F77" s="7">
        <f>VLOOKUP(A77,Лист2!$A$2:$E$505,4)</f>
        <v>644</v>
      </c>
      <c r="G77" s="7">
        <f>VLOOKUP(A77,Лист2!$A$2:$E$505,5)</f>
        <v>559</v>
      </c>
      <c r="H77">
        <f>D77/E77</f>
        <v>626493.30000000005</v>
      </c>
      <c r="I77">
        <f>WEEKNUM(A77)</f>
        <v>19</v>
      </c>
    </row>
    <row r="78" spans="1:9" ht="14.25" customHeight="1" x14ac:dyDescent="0.3">
      <c r="A78" s="5">
        <v>43955</v>
      </c>
      <c r="B78" s="6" t="s">
        <v>11</v>
      </c>
      <c r="C78" s="6">
        <v>72928.5</v>
      </c>
      <c r="D78" s="6">
        <v>6642249</v>
      </c>
      <c r="E78" s="7">
        <f>VLOOKUP(A78,Лист2!$A$2:$E$505,3)</f>
        <v>10</v>
      </c>
      <c r="F78" s="7">
        <f>VLOOKUP(A78,Лист2!$A$2:$E$505,4)</f>
        <v>462</v>
      </c>
      <c r="G78" s="7">
        <f>VLOOKUP(A78,Лист2!$A$2:$E$505,5)</f>
        <v>396</v>
      </c>
      <c r="H78">
        <f>D78/E78</f>
        <v>664224.9</v>
      </c>
      <c r="I78">
        <f>WEEKNUM(A78)</f>
        <v>19</v>
      </c>
    </row>
    <row r="79" spans="1:9" ht="14.25" customHeight="1" x14ac:dyDescent="0.3">
      <c r="A79" s="18">
        <v>43956</v>
      </c>
      <c r="B79" s="20" t="s">
        <v>11</v>
      </c>
      <c r="C79" s="20">
        <v>76585.5</v>
      </c>
      <c r="D79" s="20">
        <v>6921316.5</v>
      </c>
      <c r="E79" s="7">
        <f>VLOOKUP(A79,Лист2!$A$2:$E$505,3)</f>
        <v>10</v>
      </c>
      <c r="F79" s="7">
        <f>VLOOKUP(A79,Лист2!$A$2:$E$505,4)</f>
        <v>511</v>
      </c>
      <c r="G79" s="7">
        <f>VLOOKUP(A79,Лист2!$A$2:$E$505,5)</f>
        <v>437</v>
      </c>
      <c r="H79">
        <f>D79/E79</f>
        <v>692131.65</v>
      </c>
      <c r="I79">
        <f>WEEKNUM(A79)</f>
        <v>19</v>
      </c>
    </row>
    <row r="80" spans="1:9" ht="14.25" customHeight="1" x14ac:dyDescent="0.3">
      <c r="A80" s="17">
        <v>43954</v>
      </c>
      <c r="B80" s="19" t="s">
        <v>11</v>
      </c>
      <c r="C80" s="19">
        <v>77263.5</v>
      </c>
      <c r="D80" s="19">
        <v>7013670</v>
      </c>
      <c r="E80" s="7">
        <f>VLOOKUP(A80,Лист2!$A$2:$E$505,3)</f>
        <v>10</v>
      </c>
      <c r="F80" s="7">
        <f>VLOOKUP(A80,Лист2!$A$2:$E$505,4)</f>
        <v>402</v>
      </c>
      <c r="G80" s="7">
        <f>VLOOKUP(A80,Лист2!$A$2:$E$505,5)</f>
        <v>333</v>
      </c>
      <c r="H80">
        <f>D80/E80</f>
        <v>701367</v>
      </c>
      <c r="I80">
        <f>WEEKNUM(A80)</f>
        <v>19</v>
      </c>
    </row>
    <row r="81" spans="1:9" ht="14.25" customHeight="1" x14ac:dyDescent="0.3">
      <c r="A81" s="18">
        <v>43957</v>
      </c>
      <c r="B81" s="20" t="s">
        <v>11</v>
      </c>
      <c r="C81" s="20">
        <v>68994</v>
      </c>
      <c r="D81" s="20">
        <v>6168657</v>
      </c>
      <c r="E81" s="7">
        <f>VLOOKUP(A81,Лист2!$A$2:$E$505,3)</f>
        <v>10</v>
      </c>
      <c r="F81" s="7">
        <f>VLOOKUP(A81,Лист2!$A$2:$E$505,4)</f>
        <v>465</v>
      </c>
      <c r="G81" s="7">
        <f>VLOOKUP(A81,Лист2!$A$2:$E$505,5)</f>
        <v>390</v>
      </c>
      <c r="H81">
        <f>D81/E81</f>
        <v>616865.69999999995</v>
      </c>
      <c r="I81">
        <f>WEEKNUM(A81)</f>
        <v>19</v>
      </c>
    </row>
    <row r="82" spans="1:9" ht="14.25" customHeight="1" x14ac:dyDescent="0.3">
      <c r="A82" s="17">
        <v>43959</v>
      </c>
      <c r="B82" s="19" t="s">
        <v>11</v>
      </c>
      <c r="C82" s="19">
        <v>69544.5</v>
      </c>
      <c r="D82" s="19">
        <v>6293776.5</v>
      </c>
      <c r="E82" s="7">
        <f>VLOOKUP(A82,Лист2!$A$2:$E$505,3)</f>
        <v>10</v>
      </c>
      <c r="F82" s="7">
        <f>VLOOKUP(A82,Лист2!$A$2:$E$505,4)</f>
        <v>638</v>
      </c>
      <c r="G82" s="7">
        <f>VLOOKUP(A82,Лист2!$A$2:$E$505,5)</f>
        <v>547</v>
      </c>
      <c r="H82">
        <f>D82/E82</f>
        <v>629377.65</v>
      </c>
      <c r="I82">
        <f>WEEKNUM(A82)</f>
        <v>19</v>
      </c>
    </row>
    <row r="83" spans="1:9" ht="14.25" customHeight="1" x14ac:dyDescent="0.3">
      <c r="A83" s="18">
        <v>43958</v>
      </c>
      <c r="B83" s="20" t="s">
        <v>11</v>
      </c>
      <c r="C83" s="20">
        <v>73204.5</v>
      </c>
      <c r="D83" s="20">
        <v>6591883.5</v>
      </c>
      <c r="E83" s="7">
        <f>VLOOKUP(A83,Лист2!$A$2:$E$505,3)</f>
        <v>10</v>
      </c>
      <c r="F83" s="7">
        <f>VLOOKUP(A83,Лист2!$A$2:$E$505,4)</f>
        <v>563</v>
      </c>
      <c r="G83" s="7">
        <f>VLOOKUP(A83,Лист2!$A$2:$E$505,5)</f>
        <v>486</v>
      </c>
      <c r="H83">
        <f>D83/E83</f>
        <v>659188.35</v>
      </c>
      <c r="I83">
        <f>WEEKNUM(A83)</f>
        <v>19</v>
      </c>
    </row>
    <row r="84" spans="1:9" ht="14.25" customHeight="1" x14ac:dyDescent="0.3">
      <c r="A84" s="17">
        <v>43960</v>
      </c>
      <c r="B84" s="19" t="s">
        <v>12</v>
      </c>
      <c r="C84" s="19">
        <v>13216.5</v>
      </c>
      <c r="D84" s="19">
        <v>1046400</v>
      </c>
      <c r="E84" s="7">
        <f>VLOOKUP(A84,Лист2!$A$2:$E$505,3)</f>
        <v>10</v>
      </c>
      <c r="F84" s="7">
        <f>VLOOKUP(A84,Лист2!$A$2:$E$505,4)</f>
        <v>644</v>
      </c>
      <c r="G84" s="7">
        <f>VLOOKUP(A84,Лист2!$A$2:$E$505,5)</f>
        <v>559</v>
      </c>
      <c r="H84">
        <f>D84/E84</f>
        <v>104640</v>
      </c>
      <c r="I84">
        <f>WEEKNUM(A84)</f>
        <v>19</v>
      </c>
    </row>
    <row r="85" spans="1:9" ht="14.25" customHeight="1" x14ac:dyDescent="0.3">
      <c r="A85" s="18">
        <v>43955</v>
      </c>
      <c r="B85" s="20" t="s">
        <v>12</v>
      </c>
      <c r="C85" s="20">
        <v>9130.5</v>
      </c>
      <c r="D85" s="20">
        <v>728890.5</v>
      </c>
      <c r="E85" s="7">
        <f>VLOOKUP(A85,Лист2!$A$2:$E$505,3)</f>
        <v>10</v>
      </c>
      <c r="F85" s="7">
        <f>VLOOKUP(A85,Лист2!$A$2:$E$505,4)</f>
        <v>462</v>
      </c>
      <c r="G85" s="7">
        <f>VLOOKUP(A85,Лист2!$A$2:$E$505,5)</f>
        <v>396</v>
      </c>
      <c r="H85">
        <f>D85/E85</f>
        <v>72889.05</v>
      </c>
      <c r="I85">
        <f>WEEKNUM(A85)</f>
        <v>19</v>
      </c>
    </row>
    <row r="86" spans="1:9" ht="14.25" customHeight="1" x14ac:dyDescent="0.3">
      <c r="A86" s="5">
        <v>43956</v>
      </c>
      <c r="B86" s="6" t="s">
        <v>12</v>
      </c>
      <c r="C86" s="6">
        <v>10147.5</v>
      </c>
      <c r="D86" s="6">
        <v>793320</v>
      </c>
      <c r="E86" s="7">
        <f>VLOOKUP(A86,Лист2!$A$2:$E$505,3)</f>
        <v>10</v>
      </c>
      <c r="F86" s="7">
        <f>VLOOKUP(A86,Лист2!$A$2:$E$505,4)</f>
        <v>511</v>
      </c>
      <c r="G86" s="7">
        <f>VLOOKUP(A86,Лист2!$A$2:$E$505,5)</f>
        <v>437</v>
      </c>
      <c r="H86">
        <f>D86/E86</f>
        <v>79332</v>
      </c>
      <c r="I86">
        <f>WEEKNUM(A86)</f>
        <v>19</v>
      </c>
    </row>
    <row r="87" spans="1:9" ht="14.25" customHeight="1" x14ac:dyDescent="0.3">
      <c r="A87" s="18">
        <v>43954</v>
      </c>
      <c r="B87" s="20" t="s">
        <v>12</v>
      </c>
      <c r="C87" s="20">
        <v>8185.5</v>
      </c>
      <c r="D87" s="20">
        <v>637881</v>
      </c>
      <c r="E87" s="7">
        <f>VLOOKUP(A87,Лист2!$A$2:$E$505,3)</f>
        <v>10</v>
      </c>
      <c r="F87" s="7">
        <f>VLOOKUP(A87,Лист2!$A$2:$E$505,4)</f>
        <v>402</v>
      </c>
      <c r="G87" s="7">
        <f>VLOOKUP(A87,Лист2!$A$2:$E$505,5)</f>
        <v>333</v>
      </c>
      <c r="H87">
        <f>D87/E87</f>
        <v>63788.1</v>
      </c>
      <c r="I87">
        <f>WEEKNUM(A87)</f>
        <v>19</v>
      </c>
    </row>
    <row r="88" spans="1:9" ht="14.25" customHeight="1" x14ac:dyDescent="0.3">
      <c r="A88" s="5">
        <v>43957</v>
      </c>
      <c r="B88" s="6" t="s">
        <v>12</v>
      </c>
      <c r="C88" s="6">
        <v>9210</v>
      </c>
      <c r="D88" s="6">
        <v>696832.5</v>
      </c>
      <c r="E88" s="7">
        <f>VLOOKUP(A88,Лист2!$A$2:$E$505,3)</f>
        <v>10</v>
      </c>
      <c r="F88" s="7">
        <f>VLOOKUP(A88,Лист2!$A$2:$E$505,4)</f>
        <v>465</v>
      </c>
      <c r="G88" s="7">
        <f>VLOOKUP(A88,Лист2!$A$2:$E$505,5)</f>
        <v>390</v>
      </c>
      <c r="H88">
        <f>D88/E88</f>
        <v>69683.25</v>
      </c>
      <c r="I88">
        <f>WEEKNUM(A88)</f>
        <v>19</v>
      </c>
    </row>
    <row r="89" spans="1:9" ht="14.25" customHeight="1" x14ac:dyDescent="0.3">
      <c r="A89" s="18">
        <v>43959</v>
      </c>
      <c r="B89" s="20" t="s">
        <v>12</v>
      </c>
      <c r="C89" s="20">
        <v>12528</v>
      </c>
      <c r="D89" s="20">
        <v>959703</v>
      </c>
      <c r="E89" s="7">
        <f>VLOOKUP(A89,Лист2!$A$2:$E$505,3)</f>
        <v>10</v>
      </c>
      <c r="F89" s="7">
        <f>VLOOKUP(A89,Лист2!$A$2:$E$505,4)</f>
        <v>638</v>
      </c>
      <c r="G89" s="7">
        <f>VLOOKUP(A89,Лист2!$A$2:$E$505,5)</f>
        <v>547</v>
      </c>
      <c r="H89">
        <f>D89/E89</f>
        <v>95970.3</v>
      </c>
      <c r="I89">
        <f>WEEKNUM(A89)</f>
        <v>19</v>
      </c>
    </row>
    <row r="90" spans="1:9" ht="14.25" customHeight="1" x14ac:dyDescent="0.3">
      <c r="A90" s="17">
        <v>43958</v>
      </c>
      <c r="B90" s="19" t="s">
        <v>12</v>
      </c>
      <c r="C90" s="19">
        <v>11029.5</v>
      </c>
      <c r="D90" s="19">
        <v>863754</v>
      </c>
      <c r="E90" s="7">
        <f>VLOOKUP(A90,Лист2!$A$2:$E$505,3)</f>
        <v>10</v>
      </c>
      <c r="F90" s="7">
        <f>VLOOKUP(A90,Лист2!$A$2:$E$505,4)</f>
        <v>563</v>
      </c>
      <c r="G90" s="7">
        <f>VLOOKUP(A90,Лист2!$A$2:$E$505,5)</f>
        <v>486</v>
      </c>
      <c r="H90">
        <f>D90/E90</f>
        <v>86375.4</v>
      </c>
      <c r="I90">
        <f>WEEKNUM(A90)</f>
        <v>19</v>
      </c>
    </row>
    <row r="91" spans="1:9" ht="14.25" customHeight="1" x14ac:dyDescent="0.3">
      <c r="A91" s="8">
        <v>43960</v>
      </c>
      <c r="B91" s="9" t="s">
        <v>13</v>
      </c>
      <c r="C91" s="9">
        <v>32079</v>
      </c>
      <c r="D91" s="9">
        <v>2902167</v>
      </c>
      <c r="E91" s="7">
        <f>VLOOKUP(A91,Лист2!$A$2:$E$505,3)</f>
        <v>10</v>
      </c>
      <c r="F91" s="7">
        <f>VLOOKUP(A91,Лист2!$A$2:$E$505,4)</f>
        <v>644</v>
      </c>
      <c r="G91" s="7">
        <f>VLOOKUP(A91,Лист2!$A$2:$E$505,5)</f>
        <v>559</v>
      </c>
      <c r="H91">
        <f>D91/E91</f>
        <v>290216.7</v>
      </c>
      <c r="I91">
        <f>WEEKNUM(A91)</f>
        <v>19</v>
      </c>
    </row>
    <row r="92" spans="1:9" ht="14.25" customHeight="1" x14ac:dyDescent="0.3">
      <c r="A92" s="5">
        <v>43955</v>
      </c>
      <c r="B92" s="6" t="s">
        <v>13</v>
      </c>
      <c r="C92" s="6">
        <v>27072</v>
      </c>
      <c r="D92" s="6">
        <v>2450968.5</v>
      </c>
      <c r="E92" s="7">
        <f>VLOOKUP(A92,Лист2!$A$2:$E$505,3)</f>
        <v>10</v>
      </c>
      <c r="F92" s="7">
        <f>VLOOKUP(A92,Лист2!$A$2:$E$505,4)</f>
        <v>462</v>
      </c>
      <c r="G92" s="7">
        <f>VLOOKUP(A92,Лист2!$A$2:$E$505,5)</f>
        <v>396</v>
      </c>
      <c r="H92">
        <f>D92/E92</f>
        <v>245096.85</v>
      </c>
      <c r="I92">
        <f>WEEKNUM(A92)</f>
        <v>19</v>
      </c>
    </row>
    <row r="93" spans="1:9" ht="14.25" customHeight="1" x14ac:dyDescent="0.3">
      <c r="A93" s="18">
        <v>43956</v>
      </c>
      <c r="B93" s="20" t="s">
        <v>13</v>
      </c>
      <c r="C93" s="20">
        <v>22848</v>
      </c>
      <c r="D93" s="20">
        <v>2079900</v>
      </c>
      <c r="E93" s="7">
        <f>VLOOKUP(A93,Лист2!$A$2:$E$505,3)</f>
        <v>10</v>
      </c>
      <c r="F93" s="7">
        <f>VLOOKUP(A93,Лист2!$A$2:$E$505,4)</f>
        <v>511</v>
      </c>
      <c r="G93" s="7">
        <f>VLOOKUP(A93,Лист2!$A$2:$E$505,5)</f>
        <v>437</v>
      </c>
      <c r="H93">
        <f>D93/E93</f>
        <v>207990</v>
      </c>
      <c r="I93">
        <f>WEEKNUM(A93)</f>
        <v>19</v>
      </c>
    </row>
    <row r="94" spans="1:9" ht="14.25" customHeight="1" x14ac:dyDescent="0.3">
      <c r="A94" s="17">
        <v>43954</v>
      </c>
      <c r="B94" s="19" t="s">
        <v>13</v>
      </c>
      <c r="C94" s="19">
        <v>23539.5</v>
      </c>
      <c r="D94" s="19">
        <v>2170309.5</v>
      </c>
      <c r="E94" s="7">
        <f>VLOOKUP(A94,Лист2!$A$2:$E$505,3)</f>
        <v>10</v>
      </c>
      <c r="F94" s="7">
        <f>VLOOKUP(A94,Лист2!$A$2:$E$505,4)</f>
        <v>402</v>
      </c>
      <c r="G94" s="7">
        <f>VLOOKUP(A94,Лист2!$A$2:$E$505,5)</f>
        <v>333</v>
      </c>
      <c r="H94">
        <f>D94/E94</f>
        <v>217030.95</v>
      </c>
      <c r="I94">
        <f>WEEKNUM(A94)</f>
        <v>19</v>
      </c>
    </row>
    <row r="95" spans="1:9" ht="14.25" customHeight="1" x14ac:dyDescent="0.3">
      <c r="A95" s="18">
        <v>43957</v>
      </c>
      <c r="B95" s="20" t="s">
        <v>13</v>
      </c>
      <c r="C95" s="20">
        <v>24678</v>
      </c>
      <c r="D95" s="20">
        <v>2232519</v>
      </c>
      <c r="E95" s="7">
        <f>VLOOKUP(A95,Лист2!$A$2:$E$505,3)</f>
        <v>10</v>
      </c>
      <c r="F95" s="7">
        <f>VLOOKUP(A95,Лист2!$A$2:$E$505,4)</f>
        <v>465</v>
      </c>
      <c r="G95" s="7">
        <f>VLOOKUP(A95,Лист2!$A$2:$E$505,5)</f>
        <v>390</v>
      </c>
      <c r="H95">
        <f>D95/E95</f>
        <v>223251.9</v>
      </c>
      <c r="I95">
        <f>WEEKNUM(A95)</f>
        <v>19</v>
      </c>
    </row>
    <row r="96" spans="1:9" ht="14.25" customHeight="1" x14ac:dyDescent="0.3">
      <c r="A96" s="17">
        <v>43959</v>
      </c>
      <c r="B96" s="19" t="s">
        <v>13</v>
      </c>
      <c r="C96" s="19">
        <v>25294.5</v>
      </c>
      <c r="D96" s="19">
        <v>2271454.5</v>
      </c>
      <c r="E96" s="7">
        <f>VLOOKUP(A96,Лист2!$A$2:$E$505,3)</f>
        <v>10</v>
      </c>
      <c r="F96" s="7">
        <f>VLOOKUP(A96,Лист2!$A$2:$E$505,4)</f>
        <v>638</v>
      </c>
      <c r="G96" s="7">
        <f>VLOOKUP(A96,Лист2!$A$2:$E$505,5)</f>
        <v>547</v>
      </c>
      <c r="H96">
        <f>D96/E96</f>
        <v>227145.45</v>
      </c>
      <c r="I96">
        <f>WEEKNUM(A96)</f>
        <v>19</v>
      </c>
    </row>
    <row r="97" spans="1:9" ht="14.25" customHeight="1" x14ac:dyDescent="0.3">
      <c r="A97" s="18">
        <v>43958</v>
      </c>
      <c r="B97" s="20" t="s">
        <v>13</v>
      </c>
      <c r="C97" s="20">
        <v>25468.5</v>
      </c>
      <c r="D97" s="20">
        <v>2350672.5</v>
      </c>
      <c r="E97" s="7">
        <f>VLOOKUP(A97,Лист2!$A$2:$E$505,3)</f>
        <v>10</v>
      </c>
      <c r="F97" s="7">
        <f>VLOOKUP(A97,Лист2!$A$2:$E$505,4)</f>
        <v>563</v>
      </c>
      <c r="G97" s="7">
        <f>VLOOKUP(A97,Лист2!$A$2:$E$505,5)</f>
        <v>486</v>
      </c>
      <c r="H97">
        <f>D97/E97</f>
        <v>235067.25</v>
      </c>
      <c r="I97">
        <f>WEEKNUM(A97)</f>
        <v>19</v>
      </c>
    </row>
    <row r="98" spans="1:9" ht="14.25" customHeight="1" x14ac:dyDescent="0.3">
      <c r="A98" s="5">
        <v>43960</v>
      </c>
      <c r="B98" s="6" t="s">
        <v>14</v>
      </c>
      <c r="C98" s="6">
        <v>285972</v>
      </c>
      <c r="D98" s="6">
        <v>29768199</v>
      </c>
      <c r="E98" s="7">
        <f>VLOOKUP(A98,Лист2!$A$2:$E$505,3)</f>
        <v>10</v>
      </c>
      <c r="F98" s="7">
        <f>VLOOKUP(A98,Лист2!$A$2:$E$505,4)</f>
        <v>644</v>
      </c>
      <c r="G98" s="7">
        <f>VLOOKUP(A98,Лист2!$A$2:$E$505,5)</f>
        <v>559</v>
      </c>
      <c r="H98">
        <f>D98/E98</f>
        <v>2976819.9</v>
      </c>
      <c r="I98">
        <f>WEEKNUM(A98)</f>
        <v>19</v>
      </c>
    </row>
    <row r="99" spans="1:9" ht="14.25" customHeight="1" x14ac:dyDescent="0.3">
      <c r="A99" s="8">
        <v>43955</v>
      </c>
      <c r="B99" s="9" t="s">
        <v>14</v>
      </c>
      <c r="C99" s="9">
        <v>283942.5</v>
      </c>
      <c r="D99" s="9">
        <v>29357940</v>
      </c>
      <c r="E99" s="7">
        <f>VLOOKUP(A99,Лист2!$A$2:$E$505,3)</f>
        <v>10</v>
      </c>
      <c r="F99" s="7">
        <f>VLOOKUP(A99,Лист2!$A$2:$E$505,4)</f>
        <v>462</v>
      </c>
      <c r="G99" s="7">
        <f>VLOOKUP(A99,Лист2!$A$2:$E$505,5)</f>
        <v>396</v>
      </c>
      <c r="H99">
        <f>D99/E99</f>
        <v>2935794</v>
      </c>
      <c r="I99">
        <f>WEEKNUM(A99)</f>
        <v>19</v>
      </c>
    </row>
    <row r="100" spans="1:9" ht="14.25" customHeight="1" x14ac:dyDescent="0.3">
      <c r="A100" s="17">
        <v>43956</v>
      </c>
      <c r="B100" s="19" t="s">
        <v>14</v>
      </c>
      <c r="C100" s="19">
        <v>262734</v>
      </c>
      <c r="D100" s="19">
        <v>27278441.145</v>
      </c>
      <c r="E100" s="7">
        <f>VLOOKUP(A100,Лист2!$A$2:$E$505,3)</f>
        <v>10</v>
      </c>
      <c r="F100" s="7">
        <f>VLOOKUP(A100,Лист2!$A$2:$E$505,4)</f>
        <v>511</v>
      </c>
      <c r="G100" s="7">
        <f>VLOOKUP(A100,Лист2!$A$2:$E$505,5)</f>
        <v>437</v>
      </c>
      <c r="H100">
        <f>D100/E100</f>
        <v>2727844.1145000001</v>
      </c>
      <c r="I100">
        <f>WEEKNUM(A100)</f>
        <v>19</v>
      </c>
    </row>
    <row r="101" spans="1:9" ht="14.25" customHeight="1" x14ac:dyDescent="0.3">
      <c r="A101" s="18">
        <v>43954</v>
      </c>
      <c r="B101" s="20" t="s">
        <v>14</v>
      </c>
      <c r="C101" s="20">
        <v>274083</v>
      </c>
      <c r="D101" s="20">
        <v>28427001</v>
      </c>
      <c r="E101" s="7">
        <f>VLOOKUP(A101,Лист2!$A$2:$E$505,3)</f>
        <v>10</v>
      </c>
      <c r="F101" s="7">
        <f>VLOOKUP(A101,Лист2!$A$2:$E$505,4)</f>
        <v>402</v>
      </c>
      <c r="G101" s="7">
        <f>VLOOKUP(A101,Лист2!$A$2:$E$505,5)</f>
        <v>333</v>
      </c>
      <c r="H101">
        <f>D101/E101</f>
        <v>2842700.1</v>
      </c>
      <c r="I101">
        <f>WEEKNUM(A101)</f>
        <v>19</v>
      </c>
    </row>
    <row r="102" spans="1:9" ht="14.25" customHeight="1" x14ac:dyDescent="0.3">
      <c r="A102" s="17">
        <v>43957</v>
      </c>
      <c r="B102" s="19" t="s">
        <v>14</v>
      </c>
      <c r="C102" s="19">
        <v>277512</v>
      </c>
      <c r="D102" s="19">
        <v>28770810.105599999</v>
      </c>
      <c r="E102" s="7">
        <f>VLOOKUP(A102,Лист2!$A$2:$E$505,3)</f>
        <v>10</v>
      </c>
      <c r="F102" s="7">
        <f>VLOOKUP(A102,Лист2!$A$2:$E$505,4)</f>
        <v>465</v>
      </c>
      <c r="G102" s="7">
        <f>VLOOKUP(A102,Лист2!$A$2:$E$505,5)</f>
        <v>390</v>
      </c>
      <c r="H102">
        <f>D102/E102</f>
        <v>2877081.0105599998</v>
      </c>
      <c r="I102">
        <f>WEEKNUM(A102)</f>
        <v>19</v>
      </c>
    </row>
    <row r="103" spans="1:9" ht="14.25" customHeight="1" x14ac:dyDescent="0.3">
      <c r="A103" s="18">
        <v>43959</v>
      </c>
      <c r="B103" s="20" t="s">
        <v>14</v>
      </c>
      <c r="C103" s="20">
        <v>370092</v>
      </c>
      <c r="D103" s="20">
        <v>38091556.5</v>
      </c>
      <c r="E103" s="7">
        <f>VLOOKUP(A103,Лист2!$A$2:$E$505,3)</f>
        <v>10</v>
      </c>
      <c r="F103" s="7">
        <f>VLOOKUP(A103,Лист2!$A$2:$E$505,4)</f>
        <v>638</v>
      </c>
      <c r="G103" s="7">
        <f>VLOOKUP(A103,Лист2!$A$2:$E$505,5)</f>
        <v>547</v>
      </c>
      <c r="H103">
        <f>D103/E103</f>
        <v>3809155.65</v>
      </c>
      <c r="I103">
        <f>WEEKNUM(A103)</f>
        <v>19</v>
      </c>
    </row>
    <row r="104" spans="1:9" ht="14.25" customHeight="1" x14ac:dyDescent="0.3">
      <c r="A104" s="17">
        <v>43958</v>
      </c>
      <c r="B104" s="19" t="s">
        <v>14</v>
      </c>
      <c r="C104" s="19">
        <v>247813.5</v>
      </c>
      <c r="D104" s="19">
        <v>25325271</v>
      </c>
      <c r="E104" s="7">
        <f>VLOOKUP(A104,Лист2!$A$2:$E$505,3)</f>
        <v>10</v>
      </c>
      <c r="F104" s="7">
        <f>VLOOKUP(A104,Лист2!$A$2:$E$505,4)</f>
        <v>563</v>
      </c>
      <c r="G104" s="7">
        <f>VLOOKUP(A104,Лист2!$A$2:$E$505,5)</f>
        <v>486</v>
      </c>
      <c r="H104">
        <f>D104/E104</f>
        <v>2532527.1</v>
      </c>
      <c r="I104">
        <f>WEEKNUM(A104)</f>
        <v>19</v>
      </c>
    </row>
    <row r="105" spans="1:9" ht="14.25" customHeight="1" x14ac:dyDescent="0.3">
      <c r="A105" s="18">
        <v>43960</v>
      </c>
      <c r="B105" s="20" t="s">
        <v>15</v>
      </c>
      <c r="C105" s="20">
        <v>359214</v>
      </c>
      <c r="D105" s="20">
        <v>38693427</v>
      </c>
      <c r="E105" s="7">
        <f>VLOOKUP(A105,Лист2!$A$2:$E$505,3)</f>
        <v>10</v>
      </c>
      <c r="F105" s="7">
        <f>VLOOKUP(A105,Лист2!$A$2:$E$505,4)</f>
        <v>644</v>
      </c>
      <c r="G105" s="7">
        <f>VLOOKUP(A105,Лист2!$A$2:$E$505,5)</f>
        <v>559</v>
      </c>
      <c r="H105">
        <f>D105/E105</f>
        <v>3869342.7</v>
      </c>
      <c r="I105">
        <f>WEEKNUM(A105)</f>
        <v>19</v>
      </c>
    </row>
    <row r="106" spans="1:9" ht="14.25" customHeight="1" x14ac:dyDescent="0.3">
      <c r="A106" s="17">
        <v>43955</v>
      </c>
      <c r="B106" s="19" t="s">
        <v>15</v>
      </c>
      <c r="C106" s="19">
        <v>360255</v>
      </c>
      <c r="D106" s="19">
        <v>38406954</v>
      </c>
      <c r="E106" s="7">
        <f>VLOOKUP(A106,Лист2!$A$2:$E$505,3)</f>
        <v>10</v>
      </c>
      <c r="F106" s="7">
        <f>VLOOKUP(A106,Лист2!$A$2:$E$505,4)</f>
        <v>462</v>
      </c>
      <c r="G106" s="7">
        <f>VLOOKUP(A106,Лист2!$A$2:$E$505,5)</f>
        <v>396</v>
      </c>
      <c r="H106">
        <f>D106/E106</f>
        <v>3840695.4</v>
      </c>
      <c r="I106">
        <f>WEEKNUM(A106)</f>
        <v>19</v>
      </c>
    </row>
    <row r="107" spans="1:9" ht="14.25" customHeight="1" x14ac:dyDescent="0.3">
      <c r="A107" s="8">
        <v>43956</v>
      </c>
      <c r="B107" s="9" t="s">
        <v>15</v>
      </c>
      <c r="C107" s="9">
        <v>333792</v>
      </c>
      <c r="D107" s="9">
        <v>35671734</v>
      </c>
      <c r="E107" s="7">
        <f>VLOOKUP(A107,Лист2!$A$2:$E$505,3)</f>
        <v>10</v>
      </c>
      <c r="F107" s="7">
        <f>VLOOKUP(A107,Лист2!$A$2:$E$505,4)</f>
        <v>511</v>
      </c>
      <c r="G107" s="7">
        <f>VLOOKUP(A107,Лист2!$A$2:$E$505,5)</f>
        <v>437</v>
      </c>
      <c r="H107">
        <f>D107/E107</f>
        <v>3567173.4</v>
      </c>
      <c r="I107">
        <f>WEEKNUM(A107)</f>
        <v>19</v>
      </c>
    </row>
    <row r="108" spans="1:9" ht="14.25" customHeight="1" x14ac:dyDescent="0.3">
      <c r="A108" s="17">
        <v>43954</v>
      </c>
      <c r="B108" s="19" t="s">
        <v>15</v>
      </c>
      <c r="C108" s="19">
        <v>342666</v>
      </c>
      <c r="D108" s="19">
        <v>36631999.5</v>
      </c>
      <c r="E108" s="7">
        <f>VLOOKUP(A108,Лист2!$A$2:$E$505,3)</f>
        <v>10</v>
      </c>
      <c r="F108" s="7">
        <f>VLOOKUP(A108,Лист2!$A$2:$E$505,4)</f>
        <v>402</v>
      </c>
      <c r="G108" s="7">
        <f>VLOOKUP(A108,Лист2!$A$2:$E$505,5)</f>
        <v>333</v>
      </c>
      <c r="H108">
        <f>D108/E108</f>
        <v>3663199.95</v>
      </c>
      <c r="I108">
        <f>WEEKNUM(A108)</f>
        <v>19</v>
      </c>
    </row>
    <row r="109" spans="1:9" ht="14.25" customHeight="1" x14ac:dyDescent="0.3">
      <c r="A109" s="8">
        <v>43957</v>
      </c>
      <c r="B109" s="9" t="s">
        <v>15</v>
      </c>
      <c r="C109" s="9">
        <v>355278</v>
      </c>
      <c r="D109" s="9">
        <v>38092344</v>
      </c>
      <c r="E109" s="7">
        <f>VLOOKUP(A109,Лист2!$A$2:$E$505,3)</f>
        <v>10</v>
      </c>
      <c r="F109" s="7">
        <f>VLOOKUP(A109,Лист2!$A$2:$E$505,4)</f>
        <v>465</v>
      </c>
      <c r="G109" s="7">
        <f>VLOOKUP(A109,Лист2!$A$2:$E$505,5)</f>
        <v>390</v>
      </c>
      <c r="H109">
        <f>D109/E109</f>
        <v>3809234.4</v>
      </c>
      <c r="I109">
        <f>WEEKNUM(A109)</f>
        <v>19</v>
      </c>
    </row>
    <row r="110" spans="1:9" ht="14.25" customHeight="1" x14ac:dyDescent="0.3">
      <c r="A110" s="17">
        <v>43959</v>
      </c>
      <c r="B110" s="19" t="s">
        <v>15</v>
      </c>
      <c r="C110" s="19">
        <v>463530</v>
      </c>
      <c r="D110" s="19">
        <v>49123180.5</v>
      </c>
      <c r="E110" s="7">
        <f>VLOOKUP(A110,Лист2!$A$2:$E$505,3)</f>
        <v>10</v>
      </c>
      <c r="F110" s="7">
        <f>VLOOKUP(A110,Лист2!$A$2:$E$505,4)</f>
        <v>638</v>
      </c>
      <c r="G110" s="7">
        <f>VLOOKUP(A110,Лист2!$A$2:$E$505,5)</f>
        <v>547</v>
      </c>
      <c r="H110">
        <f>D110/E110</f>
        <v>4912318.05</v>
      </c>
      <c r="I110">
        <f>WEEKNUM(A110)</f>
        <v>19</v>
      </c>
    </row>
    <row r="111" spans="1:9" ht="14.25" customHeight="1" x14ac:dyDescent="0.3">
      <c r="A111" s="18">
        <v>43958</v>
      </c>
      <c r="B111" s="20" t="s">
        <v>15</v>
      </c>
      <c r="C111" s="20">
        <v>319110</v>
      </c>
      <c r="D111" s="20">
        <v>33763989</v>
      </c>
      <c r="E111" s="7">
        <f>VLOOKUP(A111,Лист2!$A$2:$E$505,3)</f>
        <v>10</v>
      </c>
      <c r="F111" s="7">
        <f>VLOOKUP(A111,Лист2!$A$2:$E$505,4)</f>
        <v>563</v>
      </c>
      <c r="G111" s="7">
        <f>VLOOKUP(A111,Лист2!$A$2:$E$505,5)</f>
        <v>486</v>
      </c>
      <c r="H111">
        <f>D111/E111</f>
        <v>3376398.9</v>
      </c>
      <c r="I111">
        <f>WEEKNUM(A111)</f>
        <v>19</v>
      </c>
    </row>
    <row r="112" spans="1:9" ht="14.25" customHeight="1" x14ac:dyDescent="0.3">
      <c r="A112" s="17">
        <v>43960</v>
      </c>
      <c r="B112" s="19" t="s">
        <v>16</v>
      </c>
      <c r="C112" s="19">
        <v>83373</v>
      </c>
      <c r="D112" s="19">
        <v>7253427</v>
      </c>
      <c r="E112" s="7">
        <f>VLOOKUP(A112,Лист2!$A$2:$E$505,3)</f>
        <v>10</v>
      </c>
      <c r="F112" s="7">
        <f>VLOOKUP(A112,Лист2!$A$2:$E$505,4)</f>
        <v>644</v>
      </c>
      <c r="G112" s="7">
        <f>VLOOKUP(A112,Лист2!$A$2:$E$505,5)</f>
        <v>559</v>
      </c>
      <c r="H112">
        <f>D112/E112</f>
        <v>725342.7</v>
      </c>
      <c r="I112">
        <f>WEEKNUM(A112)</f>
        <v>19</v>
      </c>
    </row>
    <row r="113" spans="1:9" ht="14.25" customHeight="1" x14ac:dyDescent="0.3">
      <c r="A113" s="18">
        <v>43955</v>
      </c>
      <c r="B113" s="20" t="s">
        <v>16</v>
      </c>
      <c r="C113" s="20">
        <v>64108.5</v>
      </c>
      <c r="D113" s="20">
        <v>5561452.5</v>
      </c>
      <c r="E113" s="7">
        <f>VLOOKUP(A113,Лист2!$A$2:$E$505,3)</f>
        <v>10</v>
      </c>
      <c r="F113" s="7">
        <f>VLOOKUP(A113,Лист2!$A$2:$E$505,4)</f>
        <v>462</v>
      </c>
      <c r="G113" s="7">
        <f>VLOOKUP(A113,Лист2!$A$2:$E$505,5)</f>
        <v>396</v>
      </c>
      <c r="H113">
        <f>D113/E113</f>
        <v>556145.25</v>
      </c>
      <c r="I113">
        <f>WEEKNUM(A113)</f>
        <v>19</v>
      </c>
    </row>
    <row r="114" spans="1:9" ht="14.25" customHeight="1" x14ac:dyDescent="0.3">
      <c r="A114" s="5">
        <v>43956</v>
      </c>
      <c r="B114" s="6" t="s">
        <v>16</v>
      </c>
      <c r="C114" s="6">
        <v>66396</v>
      </c>
      <c r="D114" s="6">
        <v>5770539</v>
      </c>
      <c r="E114" s="7">
        <f>VLOOKUP(A114,Лист2!$A$2:$E$505,3)</f>
        <v>10</v>
      </c>
      <c r="F114" s="7">
        <f>VLOOKUP(A114,Лист2!$A$2:$E$505,4)</f>
        <v>511</v>
      </c>
      <c r="G114" s="7">
        <f>VLOOKUP(A114,Лист2!$A$2:$E$505,5)</f>
        <v>437</v>
      </c>
      <c r="H114">
        <f>D114/E114</f>
        <v>577053.9</v>
      </c>
      <c r="I114">
        <f>WEEKNUM(A114)</f>
        <v>19</v>
      </c>
    </row>
    <row r="115" spans="1:9" ht="14.25" customHeight="1" x14ac:dyDescent="0.3">
      <c r="A115" s="18">
        <v>43954</v>
      </c>
      <c r="B115" s="20" t="s">
        <v>16</v>
      </c>
      <c r="C115" s="20">
        <v>70581</v>
      </c>
      <c r="D115" s="20">
        <v>6221320.5</v>
      </c>
      <c r="E115" s="7">
        <f>VLOOKUP(A115,Лист2!$A$2:$E$505,3)</f>
        <v>10</v>
      </c>
      <c r="F115" s="7">
        <f>VLOOKUP(A115,Лист2!$A$2:$E$505,4)</f>
        <v>402</v>
      </c>
      <c r="G115" s="7">
        <f>VLOOKUP(A115,Лист2!$A$2:$E$505,5)</f>
        <v>333</v>
      </c>
      <c r="H115">
        <f>D115/E115</f>
        <v>622132.05000000005</v>
      </c>
      <c r="I115">
        <f>WEEKNUM(A115)</f>
        <v>19</v>
      </c>
    </row>
    <row r="116" spans="1:9" ht="14.25" customHeight="1" x14ac:dyDescent="0.3">
      <c r="A116" s="5">
        <v>43957</v>
      </c>
      <c r="B116" s="6" t="s">
        <v>16</v>
      </c>
      <c r="C116" s="6">
        <v>63012</v>
      </c>
      <c r="D116" s="6">
        <v>5454121.5</v>
      </c>
      <c r="E116" s="7">
        <f>VLOOKUP(A116,Лист2!$A$2:$E$505,3)</f>
        <v>10</v>
      </c>
      <c r="F116" s="7">
        <f>VLOOKUP(A116,Лист2!$A$2:$E$505,4)</f>
        <v>465</v>
      </c>
      <c r="G116" s="7">
        <f>VLOOKUP(A116,Лист2!$A$2:$E$505,5)</f>
        <v>390</v>
      </c>
      <c r="H116">
        <f>D116/E116</f>
        <v>545412.15</v>
      </c>
      <c r="I116">
        <f>WEEKNUM(A116)</f>
        <v>19</v>
      </c>
    </row>
    <row r="117" spans="1:9" ht="14.25" customHeight="1" x14ac:dyDescent="0.3">
      <c r="A117" s="18">
        <v>43959</v>
      </c>
      <c r="B117" s="20" t="s">
        <v>16</v>
      </c>
      <c r="C117" s="20">
        <v>61804.5</v>
      </c>
      <c r="D117" s="20">
        <v>5365708.5</v>
      </c>
      <c r="E117" s="7">
        <f>VLOOKUP(A117,Лист2!$A$2:$E$505,3)</f>
        <v>10</v>
      </c>
      <c r="F117" s="7">
        <f>VLOOKUP(A117,Лист2!$A$2:$E$505,4)</f>
        <v>638</v>
      </c>
      <c r="G117" s="7">
        <f>VLOOKUP(A117,Лист2!$A$2:$E$505,5)</f>
        <v>547</v>
      </c>
      <c r="H117">
        <f>D117/E117</f>
        <v>536570.85</v>
      </c>
      <c r="I117">
        <f>WEEKNUM(A117)</f>
        <v>19</v>
      </c>
    </row>
    <row r="118" spans="1:9" ht="14.25" customHeight="1" x14ac:dyDescent="0.3">
      <c r="A118" s="17">
        <v>43958</v>
      </c>
      <c r="B118" s="19" t="s">
        <v>16</v>
      </c>
      <c r="C118" s="19">
        <v>71067</v>
      </c>
      <c r="D118" s="19">
        <v>6175837.5</v>
      </c>
      <c r="E118" s="7">
        <f>VLOOKUP(A118,Лист2!$A$2:$E$505,3)</f>
        <v>10</v>
      </c>
      <c r="F118" s="7">
        <f>VLOOKUP(A118,Лист2!$A$2:$E$505,4)</f>
        <v>563</v>
      </c>
      <c r="G118" s="7">
        <f>VLOOKUP(A118,Лист2!$A$2:$E$505,5)</f>
        <v>486</v>
      </c>
      <c r="H118">
        <f>D118/E118</f>
        <v>617583.75</v>
      </c>
      <c r="I118">
        <f>WEEKNUM(A118)</f>
        <v>19</v>
      </c>
    </row>
    <row r="119" spans="1:9" ht="14.25" customHeight="1" x14ac:dyDescent="0.3">
      <c r="A119" s="18">
        <v>43960</v>
      </c>
      <c r="B119" s="20" t="s">
        <v>17</v>
      </c>
      <c r="C119" s="20">
        <v>32239.5</v>
      </c>
      <c r="D119" s="20">
        <v>3084892.5</v>
      </c>
      <c r="E119" s="7">
        <f>VLOOKUP(A119,Лист2!$A$2:$E$505,3)</f>
        <v>10</v>
      </c>
      <c r="F119" s="7">
        <f>VLOOKUP(A119,Лист2!$A$2:$E$505,4)</f>
        <v>644</v>
      </c>
      <c r="G119" s="7">
        <f>VLOOKUP(A119,Лист2!$A$2:$E$505,5)</f>
        <v>559</v>
      </c>
      <c r="H119">
        <f>D119/E119</f>
        <v>308489.25</v>
      </c>
      <c r="I119">
        <f>WEEKNUM(A119)</f>
        <v>19</v>
      </c>
    </row>
    <row r="120" spans="1:9" ht="14.25" customHeight="1" x14ac:dyDescent="0.3">
      <c r="A120" s="17">
        <v>43955</v>
      </c>
      <c r="B120" s="19" t="s">
        <v>17</v>
      </c>
      <c r="C120" s="19">
        <v>30780</v>
      </c>
      <c r="D120" s="19">
        <v>2817853.5</v>
      </c>
      <c r="E120" s="7">
        <f>VLOOKUP(A120,Лист2!$A$2:$E$505,3)</f>
        <v>10</v>
      </c>
      <c r="F120" s="7">
        <f>VLOOKUP(A120,Лист2!$A$2:$E$505,4)</f>
        <v>462</v>
      </c>
      <c r="G120" s="7">
        <f>VLOOKUP(A120,Лист2!$A$2:$E$505,5)</f>
        <v>396</v>
      </c>
      <c r="H120">
        <f>D120/E120</f>
        <v>281785.34999999998</v>
      </c>
      <c r="I120">
        <f>WEEKNUM(A120)</f>
        <v>19</v>
      </c>
    </row>
    <row r="121" spans="1:9" ht="14.25" customHeight="1" x14ac:dyDescent="0.3">
      <c r="A121" s="8">
        <v>43956</v>
      </c>
      <c r="B121" s="9" t="s">
        <v>17</v>
      </c>
      <c r="C121" s="9">
        <v>29482.5</v>
      </c>
      <c r="D121" s="9">
        <v>2648688</v>
      </c>
      <c r="E121" s="7">
        <f>VLOOKUP(A121,Лист2!$A$2:$E$505,3)</f>
        <v>10</v>
      </c>
      <c r="F121" s="7">
        <f>VLOOKUP(A121,Лист2!$A$2:$E$505,4)</f>
        <v>511</v>
      </c>
      <c r="G121" s="7">
        <f>VLOOKUP(A121,Лист2!$A$2:$E$505,5)</f>
        <v>437</v>
      </c>
      <c r="H121">
        <f>D121/E121</f>
        <v>264868.8</v>
      </c>
      <c r="I121">
        <f>WEEKNUM(A121)</f>
        <v>19</v>
      </c>
    </row>
    <row r="122" spans="1:9" ht="14.25" customHeight="1" x14ac:dyDescent="0.3">
      <c r="A122" s="17">
        <v>43954</v>
      </c>
      <c r="B122" s="19" t="s">
        <v>17</v>
      </c>
      <c r="C122" s="19">
        <v>29935.5</v>
      </c>
      <c r="D122" s="19">
        <v>2720002.5</v>
      </c>
      <c r="E122" s="7">
        <f>VLOOKUP(A122,Лист2!$A$2:$E$505,3)</f>
        <v>10</v>
      </c>
      <c r="F122" s="7">
        <f>VLOOKUP(A122,Лист2!$A$2:$E$505,4)</f>
        <v>402</v>
      </c>
      <c r="G122" s="7">
        <f>VLOOKUP(A122,Лист2!$A$2:$E$505,5)</f>
        <v>333</v>
      </c>
      <c r="H122">
        <f>D122/E122</f>
        <v>272000.25</v>
      </c>
      <c r="I122">
        <f>WEEKNUM(A122)</f>
        <v>19</v>
      </c>
    </row>
    <row r="123" spans="1:9" ht="14.25" customHeight="1" x14ac:dyDescent="0.3">
      <c r="A123" s="8">
        <v>43957</v>
      </c>
      <c r="B123" s="9" t="s">
        <v>17</v>
      </c>
      <c r="C123" s="9">
        <v>30342</v>
      </c>
      <c r="D123" s="9">
        <v>2738127</v>
      </c>
      <c r="E123" s="7">
        <f>VLOOKUP(A123,Лист2!$A$2:$E$505,3)</f>
        <v>10</v>
      </c>
      <c r="F123" s="7">
        <f>VLOOKUP(A123,Лист2!$A$2:$E$505,4)</f>
        <v>465</v>
      </c>
      <c r="G123" s="7">
        <f>VLOOKUP(A123,Лист2!$A$2:$E$505,5)</f>
        <v>390</v>
      </c>
      <c r="H123">
        <f>D123/E123</f>
        <v>273812.7</v>
      </c>
      <c r="I123">
        <f>WEEKNUM(A123)</f>
        <v>19</v>
      </c>
    </row>
    <row r="124" spans="1:9" ht="14.25" customHeight="1" x14ac:dyDescent="0.3">
      <c r="A124" s="17">
        <v>43959</v>
      </c>
      <c r="B124" s="19" t="s">
        <v>17</v>
      </c>
      <c r="C124" s="19">
        <v>34399.5</v>
      </c>
      <c r="D124" s="19">
        <v>3201358.5</v>
      </c>
      <c r="E124" s="7">
        <f>VLOOKUP(A124,Лист2!$A$2:$E$505,3)</f>
        <v>10</v>
      </c>
      <c r="F124" s="7">
        <f>VLOOKUP(A124,Лист2!$A$2:$E$505,4)</f>
        <v>638</v>
      </c>
      <c r="G124" s="7">
        <f>VLOOKUP(A124,Лист2!$A$2:$E$505,5)</f>
        <v>547</v>
      </c>
      <c r="H124">
        <f>D124/E124</f>
        <v>320135.84999999998</v>
      </c>
      <c r="I124">
        <f>WEEKNUM(A124)</f>
        <v>19</v>
      </c>
    </row>
    <row r="125" spans="1:9" ht="14.25" customHeight="1" x14ac:dyDescent="0.3">
      <c r="A125" s="18">
        <v>43958</v>
      </c>
      <c r="B125" s="20" t="s">
        <v>17</v>
      </c>
      <c r="C125" s="20">
        <v>32851.5</v>
      </c>
      <c r="D125" s="20">
        <v>2934504</v>
      </c>
      <c r="E125" s="7">
        <f>VLOOKUP(A125,Лист2!$A$2:$E$505,3)</f>
        <v>10</v>
      </c>
      <c r="F125" s="7">
        <f>VLOOKUP(A125,Лист2!$A$2:$E$505,4)</f>
        <v>563</v>
      </c>
      <c r="G125" s="7">
        <f>VLOOKUP(A125,Лист2!$A$2:$E$505,5)</f>
        <v>486</v>
      </c>
      <c r="H125">
        <f>D125/E125</f>
        <v>293450.40000000002</v>
      </c>
      <c r="I125">
        <f>WEEKNUM(A125)</f>
        <v>19</v>
      </c>
    </row>
    <row r="126" spans="1:9" ht="14.25" customHeight="1" x14ac:dyDescent="0.3">
      <c r="A126" s="5">
        <v>43960</v>
      </c>
      <c r="B126" s="6" t="s">
        <v>18</v>
      </c>
      <c r="C126" s="6">
        <v>13948.5</v>
      </c>
      <c r="D126" s="6">
        <v>1222932</v>
      </c>
      <c r="E126" s="7">
        <f>VLOOKUP(A126,Лист2!$A$2:$E$505,3)</f>
        <v>10</v>
      </c>
      <c r="F126" s="7">
        <f>VLOOKUP(A126,Лист2!$A$2:$E$505,4)</f>
        <v>644</v>
      </c>
      <c r="G126" s="7">
        <f>VLOOKUP(A126,Лист2!$A$2:$E$505,5)</f>
        <v>559</v>
      </c>
      <c r="H126">
        <f>D126/E126</f>
        <v>122293.2</v>
      </c>
      <c r="I126">
        <f>WEEKNUM(A126)</f>
        <v>19</v>
      </c>
    </row>
    <row r="127" spans="1:9" ht="14.25" customHeight="1" x14ac:dyDescent="0.3">
      <c r="A127" s="8">
        <v>43955</v>
      </c>
      <c r="B127" s="9" t="s">
        <v>18</v>
      </c>
      <c r="C127" s="9">
        <v>12301.5</v>
      </c>
      <c r="D127" s="9">
        <v>1085211</v>
      </c>
      <c r="E127" s="7">
        <f>VLOOKUP(A127,Лист2!$A$2:$E$505,3)</f>
        <v>10</v>
      </c>
      <c r="F127" s="7">
        <f>VLOOKUP(A127,Лист2!$A$2:$E$505,4)</f>
        <v>462</v>
      </c>
      <c r="G127" s="7">
        <f>VLOOKUP(A127,Лист2!$A$2:$E$505,5)</f>
        <v>396</v>
      </c>
      <c r="H127">
        <f>D127/E127</f>
        <v>108521.1</v>
      </c>
      <c r="I127">
        <f>WEEKNUM(A127)</f>
        <v>19</v>
      </c>
    </row>
    <row r="128" spans="1:9" ht="14.25" customHeight="1" x14ac:dyDescent="0.3">
      <c r="A128" s="17">
        <v>43956</v>
      </c>
      <c r="B128" s="19" t="s">
        <v>18</v>
      </c>
      <c r="C128" s="19">
        <v>15987</v>
      </c>
      <c r="D128" s="19">
        <v>1384179</v>
      </c>
      <c r="E128" s="7">
        <f>VLOOKUP(A128,Лист2!$A$2:$E$505,3)</f>
        <v>10</v>
      </c>
      <c r="F128" s="7">
        <f>VLOOKUP(A128,Лист2!$A$2:$E$505,4)</f>
        <v>511</v>
      </c>
      <c r="G128" s="7">
        <f>VLOOKUP(A128,Лист2!$A$2:$E$505,5)</f>
        <v>437</v>
      </c>
      <c r="H128">
        <f>D128/E128</f>
        <v>138417.9</v>
      </c>
      <c r="I128">
        <f>WEEKNUM(A128)</f>
        <v>19</v>
      </c>
    </row>
    <row r="129" spans="1:9" ht="14.25" customHeight="1" x14ac:dyDescent="0.3">
      <c r="A129" s="18">
        <v>43954</v>
      </c>
      <c r="B129" s="20" t="s">
        <v>18</v>
      </c>
      <c r="C129" s="20">
        <v>12924</v>
      </c>
      <c r="D129" s="20">
        <v>1120009.5</v>
      </c>
      <c r="E129" s="7">
        <f>VLOOKUP(A129,Лист2!$A$2:$E$505,3)</f>
        <v>10</v>
      </c>
      <c r="F129" s="7">
        <f>VLOOKUP(A129,Лист2!$A$2:$E$505,4)</f>
        <v>402</v>
      </c>
      <c r="G129" s="7">
        <f>VLOOKUP(A129,Лист2!$A$2:$E$505,5)</f>
        <v>333</v>
      </c>
      <c r="H129">
        <f>D129/E129</f>
        <v>112000.95</v>
      </c>
      <c r="I129">
        <f>WEEKNUM(A129)</f>
        <v>19</v>
      </c>
    </row>
    <row r="130" spans="1:9" ht="14.25" customHeight="1" x14ac:dyDescent="0.3">
      <c r="A130" s="17">
        <v>43957</v>
      </c>
      <c r="B130" s="19" t="s">
        <v>18</v>
      </c>
      <c r="C130" s="19">
        <v>14061</v>
      </c>
      <c r="D130" s="19">
        <v>1221057</v>
      </c>
      <c r="E130" s="7">
        <f>VLOOKUP(A130,Лист2!$A$2:$E$505,3)</f>
        <v>10</v>
      </c>
      <c r="F130" s="7">
        <f>VLOOKUP(A130,Лист2!$A$2:$E$505,4)</f>
        <v>465</v>
      </c>
      <c r="G130" s="7">
        <f>VLOOKUP(A130,Лист2!$A$2:$E$505,5)</f>
        <v>390</v>
      </c>
      <c r="H130">
        <f>D130/E130</f>
        <v>122105.7</v>
      </c>
      <c r="I130">
        <f>WEEKNUM(A130)</f>
        <v>19</v>
      </c>
    </row>
    <row r="131" spans="1:9" ht="14.25" customHeight="1" x14ac:dyDescent="0.3">
      <c r="A131" s="18">
        <v>43959</v>
      </c>
      <c r="B131" s="20" t="s">
        <v>18</v>
      </c>
      <c r="C131" s="20">
        <v>14494.5</v>
      </c>
      <c r="D131" s="20">
        <v>1269786</v>
      </c>
      <c r="E131" s="7">
        <f>VLOOKUP(A131,Лист2!$A$2:$E$505,3)</f>
        <v>10</v>
      </c>
      <c r="F131" s="7">
        <f>VLOOKUP(A131,Лист2!$A$2:$E$505,4)</f>
        <v>638</v>
      </c>
      <c r="G131" s="7">
        <f>VLOOKUP(A131,Лист2!$A$2:$E$505,5)</f>
        <v>547</v>
      </c>
      <c r="H131">
        <f>D131/E131</f>
        <v>126978.6</v>
      </c>
      <c r="I131">
        <f>WEEKNUM(A131)</f>
        <v>19</v>
      </c>
    </row>
    <row r="132" spans="1:9" ht="14.25" customHeight="1" x14ac:dyDescent="0.3">
      <c r="A132" s="17">
        <v>43958</v>
      </c>
      <c r="B132" s="19" t="s">
        <v>18</v>
      </c>
      <c r="C132" s="19">
        <v>12705</v>
      </c>
      <c r="D132" s="19">
        <v>1123894.5</v>
      </c>
      <c r="E132" s="7">
        <f>VLOOKUP(A132,Лист2!$A$2:$E$505,3)</f>
        <v>10</v>
      </c>
      <c r="F132" s="7">
        <f>VLOOKUP(A132,Лист2!$A$2:$E$505,4)</f>
        <v>563</v>
      </c>
      <c r="G132" s="7">
        <f>VLOOKUP(A132,Лист2!$A$2:$E$505,5)</f>
        <v>486</v>
      </c>
      <c r="H132">
        <f>D132/E132</f>
        <v>112389.45</v>
      </c>
      <c r="I132">
        <f>WEEKNUM(A132)</f>
        <v>19</v>
      </c>
    </row>
    <row r="133" spans="1:9" ht="14.25" customHeight="1" x14ac:dyDescent="0.3">
      <c r="A133" s="18">
        <v>43960</v>
      </c>
      <c r="B133" s="20" t="s">
        <v>19</v>
      </c>
      <c r="C133" s="20">
        <v>12037.5</v>
      </c>
      <c r="D133" s="20">
        <v>1081216.5</v>
      </c>
      <c r="E133" s="7">
        <f>VLOOKUP(A133,Лист2!$A$2:$E$505,3)</f>
        <v>10</v>
      </c>
      <c r="F133" s="7">
        <f>VLOOKUP(A133,Лист2!$A$2:$E$505,4)</f>
        <v>644</v>
      </c>
      <c r="G133" s="7">
        <f>VLOOKUP(A133,Лист2!$A$2:$E$505,5)</f>
        <v>559</v>
      </c>
      <c r="H133">
        <f>D133/E133</f>
        <v>108121.65</v>
      </c>
      <c r="I133">
        <f>WEEKNUM(A133)</f>
        <v>19</v>
      </c>
    </row>
    <row r="134" spans="1:9" ht="14.25" customHeight="1" x14ac:dyDescent="0.3">
      <c r="A134" s="17">
        <v>43955</v>
      </c>
      <c r="B134" s="19" t="s">
        <v>19</v>
      </c>
      <c r="C134" s="19">
        <v>7087.5</v>
      </c>
      <c r="D134" s="19">
        <v>610855.5</v>
      </c>
      <c r="E134" s="7">
        <f>VLOOKUP(A134,Лист2!$A$2:$E$505,3)</f>
        <v>10</v>
      </c>
      <c r="F134" s="7">
        <f>VLOOKUP(A134,Лист2!$A$2:$E$505,4)</f>
        <v>462</v>
      </c>
      <c r="G134" s="7">
        <f>VLOOKUP(A134,Лист2!$A$2:$E$505,5)</f>
        <v>396</v>
      </c>
      <c r="H134">
        <f>D134/E134</f>
        <v>61085.55</v>
      </c>
      <c r="I134">
        <f>WEEKNUM(A134)</f>
        <v>19</v>
      </c>
    </row>
    <row r="135" spans="1:9" ht="14.25" customHeight="1" x14ac:dyDescent="0.3">
      <c r="A135" s="8">
        <v>43956</v>
      </c>
      <c r="B135" s="9" t="s">
        <v>19</v>
      </c>
      <c r="C135" s="9">
        <v>8223</v>
      </c>
      <c r="D135" s="9">
        <v>694593</v>
      </c>
      <c r="E135" s="7">
        <f>VLOOKUP(A135,Лист2!$A$2:$E$505,3)</f>
        <v>10</v>
      </c>
      <c r="F135" s="7">
        <f>VLOOKUP(A135,Лист2!$A$2:$E$505,4)</f>
        <v>511</v>
      </c>
      <c r="G135" s="7">
        <f>VLOOKUP(A135,Лист2!$A$2:$E$505,5)</f>
        <v>437</v>
      </c>
      <c r="H135">
        <f>D135/E135</f>
        <v>69459.3</v>
      </c>
      <c r="I135">
        <f>WEEKNUM(A135)</f>
        <v>19</v>
      </c>
    </row>
    <row r="136" spans="1:9" ht="14.25" customHeight="1" x14ac:dyDescent="0.3">
      <c r="A136" s="17">
        <v>43954</v>
      </c>
      <c r="B136" s="19" t="s">
        <v>19</v>
      </c>
      <c r="C136" s="19">
        <v>8127</v>
      </c>
      <c r="D136" s="19">
        <v>665302.5</v>
      </c>
      <c r="E136" s="7">
        <f>VLOOKUP(A136,Лист2!$A$2:$E$505,3)</f>
        <v>10</v>
      </c>
      <c r="F136" s="7">
        <f>VLOOKUP(A136,Лист2!$A$2:$E$505,4)</f>
        <v>402</v>
      </c>
      <c r="G136" s="7">
        <f>VLOOKUP(A136,Лист2!$A$2:$E$505,5)</f>
        <v>333</v>
      </c>
      <c r="H136">
        <f>D136/E136</f>
        <v>66530.25</v>
      </c>
      <c r="I136">
        <f>WEEKNUM(A136)</f>
        <v>19</v>
      </c>
    </row>
    <row r="137" spans="1:9" ht="14.25" customHeight="1" x14ac:dyDescent="0.3">
      <c r="A137" s="8">
        <v>43957</v>
      </c>
      <c r="B137" s="9" t="s">
        <v>19</v>
      </c>
      <c r="C137" s="9">
        <v>8464.5</v>
      </c>
      <c r="D137" s="9">
        <v>739291.5</v>
      </c>
      <c r="E137" s="7">
        <f>VLOOKUP(A137,Лист2!$A$2:$E$505,3)</f>
        <v>10</v>
      </c>
      <c r="F137" s="7">
        <f>VLOOKUP(A137,Лист2!$A$2:$E$505,4)</f>
        <v>465</v>
      </c>
      <c r="G137" s="7">
        <f>VLOOKUP(A137,Лист2!$A$2:$E$505,5)</f>
        <v>390</v>
      </c>
      <c r="H137">
        <f>D137/E137</f>
        <v>73929.149999999994</v>
      </c>
      <c r="I137">
        <f>WEEKNUM(A137)</f>
        <v>19</v>
      </c>
    </row>
    <row r="138" spans="1:9" ht="14.25" customHeight="1" x14ac:dyDescent="0.3">
      <c r="A138" s="17">
        <v>43959</v>
      </c>
      <c r="B138" s="19" t="s">
        <v>19</v>
      </c>
      <c r="C138" s="19">
        <v>9058.5</v>
      </c>
      <c r="D138" s="19">
        <v>798759</v>
      </c>
      <c r="E138" s="7">
        <f>VLOOKUP(A138,Лист2!$A$2:$E$505,3)</f>
        <v>10</v>
      </c>
      <c r="F138" s="7">
        <f>VLOOKUP(A138,Лист2!$A$2:$E$505,4)</f>
        <v>638</v>
      </c>
      <c r="G138" s="7">
        <f>VLOOKUP(A138,Лист2!$A$2:$E$505,5)</f>
        <v>547</v>
      </c>
      <c r="H138">
        <f>D138/E138</f>
        <v>79875.899999999994</v>
      </c>
      <c r="I138">
        <f>WEEKNUM(A138)</f>
        <v>19</v>
      </c>
    </row>
    <row r="139" spans="1:9" ht="14.25" customHeight="1" x14ac:dyDescent="0.3">
      <c r="A139" s="18">
        <v>43958</v>
      </c>
      <c r="B139" s="20" t="s">
        <v>19</v>
      </c>
      <c r="C139" s="20">
        <v>8719.5</v>
      </c>
      <c r="D139" s="20">
        <v>769276.5</v>
      </c>
      <c r="E139" s="7">
        <f>VLOOKUP(A139,Лист2!$A$2:$E$505,3)</f>
        <v>10</v>
      </c>
      <c r="F139" s="7">
        <f>VLOOKUP(A139,Лист2!$A$2:$E$505,4)</f>
        <v>563</v>
      </c>
      <c r="G139" s="7">
        <f>VLOOKUP(A139,Лист2!$A$2:$E$505,5)</f>
        <v>486</v>
      </c>
      <c r="H139">
        <f>D139/E139</f>
        <v>76927.649999999994</v>
      </c>
      <c r="I139">
        <f>WEEKNUM(A139)</f>
        <v>19</v>
      </c>
    </row>
    <row r="140" spans="1:9" ht="14.25" customHeight="1" x14ac:dyDescent="0.3">
      <c r="A140" s="17">
        <v>43960</v>
      </c>
      <c r="B140" s="19" t="s">
        <v>20</v>
      </c>
      <c r="C140" s="19">
        <v>26271</v>
      </c>
      <c r="D140" s="19">
        <v>2384937</v>
      </c>
      <c r="E140" s="7">
        <f>VLOOKUP(A140,Лист2!$A$2:$E$505,3)</f>
        <v>10</v>
      </c>
      <c r="F140" s="7">
        <f>VLOOKUP(A140,Лист2!$A$2:$E$505,4)</f>
        <v>644</v>
      </c>
      <c r="G140" s="7">
        <f>VLOOKUP(A140,Лист2!$A$2:$E$505,5)</f>
        <v>559</v>
      </c>
      <c r="H140">
        <f>D140/E140</f>
        <v>238493.7</v>
      </c>
      <c r="I140">
        <f>WEEKNUM(A140)</f>
        <v>19</v>
      </c>
    </row>
    <row r="141" spans="1:9" ht="14.25" customHeight="1" x14ac:dyDescent="0.3">
      <c r="A141" s="18">
        <v>43955</v>
      </c>
      <c r="B141" s="20" t="s">
        <v>20</v>
      </c>
      <c r="C141" s="20">
        <v>23587.5</v>
      </c>
      <c r="D141" s="20">
        <v>2155668</v>
      </c>
      <c r="E141" s="7">
        <f>VLOOKUP(A141,Лист2!$A$2:$E$505,3)</f>
        <v>10</v>
      </c>
      <c r="F141" s="7">
        <f>VLOOKUP(A141,Лист2!$A$2:$E$505,4)</f>
        <v>462</v>
      </c>
      <c r="G141" s="7">
        <f>VLOOKUP(A141,Лист2!$A$2:$E$505,5)</f>
        <v>396</v>
      </c>
      <c r="H141">
        <f>D141/E141</f>
        <v>215566.8</v>
      </c>
      <c r="I141">
        <f>WEEKNUM(A141)</f>
        <v>19</v>
      </c>
    </row>
    <row r="142" spans="1:9" ht="14.25" customHeight="1" x14ac:dyDescent="0.3">
      <c r="A142" s="17">
        <v>43956</v>
      </c>
      <c r="B142" s="19" t="s">
        <v>20</v>
      </c>
      <c r="C142" s="19">
        <v>26367</v>
      </c>
      <c r="D142" s="19">
        <v>2380333.5</v>
      </c>
      <c r="E142" s="7">
        <f>VLOOKUP(A142,Лист2!$A$2:$E$505,3)</f>
        <v>10</v>
      </c>
      <c r="F142" s="7">
        <f>VLOOKUP(A142,Лист2!$A$2:$E$505,4)</f>
        <v>511</v>
      </c>
      <c r="G142" s="7">
        <f>VLOOKUP(A142,Лист2!$A$2:$E$505,5)</f>
        <v>437</v>
      </c>
      <c r="H142">
        <f>D142/E142</f>
        <v>238033.35</v>
      </c>
      <c r="I142">
        <f>WEEKNUM(A142)</f>
        <v>19</v>
      </c>
    </row>
    <row r="143" spans="1:9" ht="14.25" customHeight="1" x14ac:dyDescent="0.3">
      <c r="A143" s="18">
        <v>43954</v>
      </c>
      <c r="B143" s="20" t="s">
        <v>20</v>
      </c>
      <c r="C143" s="20">
        <v>21343.5</v>
      </c>
      <c r="D143" s="20">
        <v>1906557</v>
      </c>
      <c r="E143" s="7">
        <f>VLOOKUP(A143,Лист2!$A$2:$E$505,3)</f>
        <v>10</v>
      </c>
      <c r="F143" s="7">
        <f>VLOOKUP(A143,Лист2!$A$2:$E$505,4)</f>
        <v>402</v>
      </c>
      <c r="G143" s="7">
        <f>VLOOKUP(A143,Лист2!$A$2:$E$505,5)</f>
        <v>333</v>
      </c>
      <c r="H143">
        <f>D143/E143</f>
        <v>190655.7</v>
      </c>
      <c r="I143">
        <f>WEEKNUM(A143)</f>
        <v>19</v>
      </c>
    </row>
    <row r="144" spans="1:9" ht="14.25" customHeight="1" x14ac:dyDescent="0.3">
      <c r="A144" s="5">
        <v>43957</v>
      </c>
      <c r="B144" s="6" t="s">
        <v>20</v>
      </c>
      <c r="C144" s="6">
        <v>24337.5</v>
      </c>
      <c r="D144" s="6">
        <v>2159350.5</v>
      </c>
      <c r="E144" s="7">
        <f>VLOOKUP(A144,Лист2!$A$2:$E$505,3)</f>
        <v>10</v>
      </c>
      <c r="F144" s="7">
        <f>VLOOKUP(A144,Лист2!$A$2:$E$505,4)</f>
        <v>465</v>
      </c>
      <c r="G144" s="7">
        <f>VLOOKUP(A144,Лист2!$A$2:$E$505,5)</f>
        <v>390</v>
      </c>
      <c r="H144">
        <f>D144/E144</f>
        <v>215935.05</v>
      </c>
      <c r="I144">
        <f>WEEKNUM(A144)</f>
        <v>19</v>
      </c>
    </row>
    <row r="145" spans="1:9" ht="14.25" customHeight="1" x14ac:dyDescent="0.3">
      <c r="A145" s="18">
        <v>43959</v>
      </c>
      <c r="B145" s="20" t="s">
        <v>20</v>
      </c>
      <c r="C145" s="20">
        <v>25020</v>
      </c>
      <c r="D145" s="20">
        <v>2235960</v>
      </c>
      <c r="E145" s="7">
        <f>VLOOKUP(A145,Лист2!$A$2:$E$505,3)</f>
        <v>10</v>
      </c>
      <c r="F145" s="7">
        <f>VLOOKUP(A145,Лист2!$A$2:$E$505,4)</f>
        <v>638</v>
      </c>
      <c r="G145" s="7">
        <f>VLOOKUP(A145,Лист2!$A$2:$E$505,5)</f>
        <v>547</v>
      </c>
      <c r="H145">
        <f>D145/E145</f>
        <v>223596</v>
      </c>
      <c r="I145">
        <f>WEEKNUM(A145)</f>
        <v>19</v>
      </c>
    </row>
    <row r="146" spans="1:9" ht="14.25" customHeight="1" x14ac:dyDescent="0.3">
      <c r="A146" s="17">
        <v>43958</v>
      </c>
      <c r="B146" s="19" t="s">
        <v>20</v>
      </c>
      <c r="C146" s="19">
        <v>26184</v>
      </c>
      <c r="D146" s="19">
        <v>2308336.5</v>
      </c>
      <c r="E146" s="7">
        <f>VLOOKUP(A146,Лист2!$A$2:$E$505,3)</f>
        <v>10</v>
      </c>
      <c r="F146" s="7">
        <f>VLOOKUP(A146,Лист2!$A$2:$E$505,4)</f>
        <v>563</v>
      </c>
      <c r="G146" s="7">
        <f>VLOOKUP(A146,Лист2!$A$2:$E$505,5)</f>
        <v>486</v>
      </c>
      <c r="H146">
        <f>D146/E146</f>
        <v>230833.65</v>
      </c>
      <c r="I146">
        <f>WEEKNUM(A146)</f>
        <v>19</v>
      </c>
    </row>
    <row r="147" spans="1:9" ht="14.25" customHeight="1" x14ac:dyDescent="0.3">
      <c r="A147" s="8">
        <v>43960</v>
      </c>
      <c r="B147" s="9" t="s">
        <v>21</v>
      </c>
      <c r="C147" s="9">
        <v>188319</v>
      </c>
      <c r="D147" s="9">
        <v>19218631.5</v>
      </c>
      <c r="E147" s="7">
        <f>VLOOKUP(A147,Лист2!$A$2:$E$505,3)</f>
        <v>10</v>
      </c>
      <c r="F147" s="7">
        <f>VLOOKUP(A147,Лист2!$A$2:$E$505,4)</f>
        <v>644</v>
      </c>
      <c r="G147" s="7">
        <f>VLOOKUP(A147,Лист2!$A$2:$E$505,5)</f>
        <v>559</v>
      </c>
      <c r="H147">
        <f>D147/E147</f>
        <v>1921863.15</v>
      </c>
      <c r="I147">
        <f>WEEKNUM(A147)</f>
        <v>19</v>
      </c>
    </row>
    <row r="148" spans="1:9" ht="14.25" customHeight="1" x14ac:dyDescent="0.3">
      <c r="A148" s="5">
        <v>43955</v>
      </c>
      <c r="B148" s="6" t="s">
        <v>21</v>
      </c>
      <c r="C148" s="6">
        <v>237544.5</v>
      </c>
      <c r="D148" s="6">
        <v>24292218</v>
      </c>
      <c r="E148" s="7">
        <f>VLOOKUP(A148,Лист2!$A$2:$E$505,3)</f>
        <v>10</v>
      </c>
      <c r="F148" s="7">
        <f>VLOOKUP(A148,Лист2!$A$2:$E$505,4)</f>
        <v>462</v>
      </c>
      <c r="G148" s="7">
        <f>VLOOKUP(A148,Лист2!$A$2:$E$505,5)</f>
        <v>396</v>
      </c>
      <c r="H148">
        <f>D148/E148</f>
        <v>2429221.7999999998</v>
      </c>
      <c r="I148">
        <f>WEEKNUM(A148)</f>
        <v>19</v>
      </c>
    </row>
    <row r="149" spans="1:9" ht="14.25" customHeight="1" x14ac:dyDescent="0.3">
      <c r="A149" s="18">
        <v>43956</v>
      </c>
      <c r="B149" s="20" t="s">
        <v>21</v>
      </c>
      <c r="C149" s="20">
        <v>213582</v>
      </c>
      <c r="D149" s="20">
        <v>21919435.5</v>
      </c>
      <c r="E149" s="7">
        <f>VLOOKUP(A149,Лист2!$A$2:$E$505,3)</f>
        <v>10</v>
      </c>
      <c r="F149" s="7">
        <f>VLOOKUP(A149,Лист2!$A$2:$E$505,4)</f>
        <v>511</v>
      </c>
      <c r="G149" s="7">
        <f>VLOOKUP(A149,Лист2!$A$2:$E$505,5)</f>
        <v>437</v>
      </c>
      <c r="H149">
        <f>D149/E149</f>
        <v>2191943.5499999998</v>
      </c>
      <c r="I149">
        <f>WEEKNUM(A149)</f>
        <v>19</v>
      </c>
    </row>
    <row r="150" spans="1:9" ht="14.25" customHeight="1" x14ac:dyDescent="0.3">
      <c r="A150" s="17">
        <v>43954</v>
      </c>
      <c r="B150" s="19" t="s">
        <v>21</v>
      </c>
      <c r="C150" s="19">
        <v>257215.5</v>
      </c>
      <c r="D150" s="19">
        <v>26492278.5</v>
      </c>
      <c r="E150" s="7">
        <f>VLOOKUP(A150,Лист2!$A$2:$E$505,3)</f>
        <v>10</v>
      </c>
      <c r="F150" s="7">
        <f>VLOOKUP(A150,Лист2!$A$2:$E$505,4)</f>
        <v>402</v>
      </c>
      <c r="G150" s="7">
        <f>VLOOKUP(A150,Лист2!$A$2:$E$505,5)</f>
        <v>333</v>
      </c>
      <c r="H150">
        <f>D150/E150</f>
        <v>2649227.85</v>
      </c>
      <c r="I150">
        <f>WEEKNUM(A150)</f>
        <v>19</v>
      </c>
    </row>
    <row r="151" spans="1:9" ht="14.25" customHeight="1" x14ac:dyDescent="0.3">
      <c r="A151" s="18">
        <v>43957</v>
      </c>
      <c r="B151" s="20" t="s">
        <v>21</v>
      </c>
      <c r="C151" s="20">
        <v>224779.5</v>
      </c>
      <c r="D151" s="20">
        <v>23032992</v>
      </c>
      <c r="E151" s="7">
        <f>VLOOKUP(A151,Лист2!$A$2:$E$505,3)</f>
        <v>10</v>
      </c>
      <c r="F151" s="7">
        <f>VLOOKUP(A151,Лист2!$A$2:$E$505,4)</f>
        <v>465</v>
      </c>
      <c r="G151" s="7">
        <f>VLOOKUP(A151,Лист2!$A$2:$E$505,5)</f>
        <v>390</v>
      </c>
      <c r="H151">
        <f>D151/E151</f>
        <v>2303299.2000000002</v>
      </c>
      <c r="I151">
        <f>WEEKNUM(A151)</f>
        <v>19</v>
      </c>
    </row>
    <row r="152" spans="1:9" ht="14.25" customHeight="1" x14ac:dyDescent="0.3">
      <c r="A152" s="17">
        <v>43959</v>
      </c>
      <c r="B152" s="19" t="s">
        <v>21</v>
      </c>
      <c r="C152" s="19">
        <v>232701</v>
      </c>
      <c r="D152" s="19">
        <v>23881948.5</v>
      </c>
      <c r="E152" s="7">
        <f>VLOOKUP(A152,Лист2!$A$2:$E$505,3)</f>
        <v>10</v>
      </c>
      <c r="F152" s="7">
        <f>VLOOKUP(A152,Лист2!$A$2:$E$505,4)</f>
        <v>638</v>
      </c>
      <c r="G152" s="7">
        <f>VLOOKUP(A152,Лист2!$A$2:$E$505,5)</f>
        <v>547</v>
      </c>
      <c r="H152">
        <f>D152/E152</f>
        <v>2388194.85</v>
      </c>
      <c r="I152">
        <f>WEEKNUM(A152)</f>
        <v>19</v>
      </c>
    </row>
    <row r="153" spans="1:9" ht="14.25" customHeight="1" x14ac:dyDescent="0.3">
      <c r="A153" s="18">
        <v>43958</v>
      </c>
      <c r="B153" s="20" t="s">
        <v>21</v>
      </c>
      <c r="C153" s="20">
        <v>219411</v>
      </c>
      <c r="D153" s="20">
        <v>22460130</v>
      </c>
      <c r="E153" s="7">
        <f>VLOOKUP(A153,Лист2!$A$2:$E$505,3)</f>
        <v>10</v>
      </c>
      <c r="F153" s="7">
        <f>VLOOKUP(A153,Лист2!$A$2:$E$505,4)</f>
        <v>563</v>
      </c>
      <c r="G153" s="7">
        <f>VLOOKUP(A153,Лист2!$A$2:$E$505,5)</f>
        <v>486</v>
      </c>
      <c r="H153">
        <f>D153/E153</f>
        <v>2246013</v>
      </c>
      <c r="I153">
        <f>WEEKNUM(A153)</f>
        <v>19</v>
      </c>
    </row>
    <row r="154" spans="1:9" ht="14.25" customHeight="1" x14ac:dyDescent="0.3">
      <c r="A154" s="17">
        <v>43960</v>
      </c>
      <c r="B154" s="19" t="s">
        <v>22</v>
      </c>
      <c r="C154" s="19">
        <v>177976.5</v>
      </c>
      <c r="D154" s="19">
        <v>18085798.5</v>
      </c>
      <c r="E154" s="7">
        <f>VLOOKUP(A154,Лист2!$A$2:$E$505,3)</f>
        <v>10</v>
      </c>
      <c r="F154" s="7">
        <f>VLOOKUP(A154,Лист2!$A$2:$E$505,4)</f>
        <v>644</v>
      </c>
      <c r="G154" s="7">
        <f>VLOOKUP(A154,Лист2!$A$2:$E$505,5)</f>
        <v>559</v>
      </c>
      <c r="H154">
        <f>D154/E154</f>
        <v>1808579.85</v>
      </c>
      <c r="I154">
        <f>WEEKNUM(A154)</f>
        <v>19</v>
      </c>
    </row>
    <row r="155" spans="1:9" ht="14.25" customHeight="1" x14ac:dyDescent="0.3">
      <c r="A155" s="18">
        <v>43955</v>
      </c>
      <c r="B155" s="20" t="s">
        <v>22</v>
      </c>
      <c r="C155" s="20">
        <v>223617</v>
      </c>
      <c r="D155" s="20">
        <v>22796827.5</v>
      </c>
      <c r="E155" s="7">
        <f>VLOOKUP(A155,Лист2!$A$2:$E$505,3)</f>
        <v>10</v>
      </c>
      <c r="F155" s="7">
        <f>VLOOKUP(A155,Лист2!$A$2:$E$505,4)</f>
        <v>462</v>
      </c>
      <c r="G155" s="7">
        <f>VLOOKUP(A155,Лист2!$A$2:$E$505,5)</f>
        <v>396</v>
      </c>
      <c r="H155">
        <f>D155/E155</f>
        <v>2279682.75</v>
      </c>
      <c r="I155">
        <f>WEEKNUM(A155)</f>
        <v>19</v>
      </c>
    </row>
    <row r="156" spans="1:9" ht="14.25" customHeight="1" x14ac:dyDescent="0.3">
      <c r="A156" s="17">
        <v>43956</v>
      </c>
      <c r="B156" s="19" t="s">
        <v>22</v>
      </c>
      <c r="C156" s="19">
        <v>203832</v>
      </c>
      <c r="D156" s="19">
        <v>20880142.5</v>
      </c>
      <c r="E156" s="7">
        <f>VLOOKUP(A156,Лист2!$A$2:$E$505,3)</f>
        <v>10</v>
      </c>
      <c r="F156" s="7">
        <f>VLOOKUP(A156,Лист2!$A$2:$E$505,4)</f>
        <v>511</v>
      </c>
      <c r="G156" s="7">
        <f>VLOOKUP(A156,Лист2!$A$2:$E$505,5)</f>
        <v>437</v>
      </c>
      <c r="H156">
        <f>D156/E156</f>
        <v>2088014.25</v>
      </c>
      <c r="I156">
        <f>WEEKNUM(A156)</f>
        <v>19</v>
      </c>
    </row>
    <row r="157" spans="1:9" ht="14.25" customHeight="1" x14ac:dyDescent="0.3">
      <c r="A157" s="18">
        <v>43954</v>
      </c>
      <c r="B157" s="20" t="s">
        <v>22</v>
      </c>
      <c r="C157" s="20">
        <v>248148</v>
      </c>
      <c r="D157" s="20">
        <v>25519072.5</v>
      </c>
      <c r="E157" s="7">
        <f>VLOOKUP(A157,Лист2!$A$2:$E$505,3)</f>
        <v>10</v>
      </c>
      <c r="F157" s="7">
        <f>VLOOKUP(A157,Лист2!$A$2:$E$505,4)</f>
        <v>402</v>
      </c>
      <c r="G157" s="7">
        <f>VLOOKUP(A157,Лист2!$A$2:$E$505,5)</f>
        <v>333</v>
      </c>
      <c r="H157">
        <f>D157/E157</f>
        <v>2551907.25</v>
      </c>
      <c r="I157">
        <f>WEEKNUM(A157)</f>
        <v>19</v>
      </c>
    </row>
    <row r="158" spans="1:9" ht="14.25" customHeight="1" x14ac:dyDescent="0.3">
      <c r="A158" s="5">
        <v>43957</v>
      </c>
      <c r="B158" s="6" t="s">
        <v>22</v>
      </c>
      <c r="C158" s="6">
        <v>216498</v>
      </c>
      <c r="D158" s="6">
        <v>22126444.5</v>
      </c>
      <c r="E158" s="7">
        <f>VLOOKUP(A158,Лист2!$A$2:$E$505,3)</f>
        <v>10</v>
      </c>
      <c r="F158" s="7">
        <f>VLOOKUP(A158,Лист2!$A$2:$E$505,4)</f>
        <v>465</v>
      </c>
      <c r="G158" s="7">
        <f>VLOOKUP(A158,Лист2!$A$2:$E$505,5)</f>
        <v>390</v>
      </c>
      <c r="H158">
        <f>D158/E158</f>
        <v>2212644.4500000002</v>
      </c>
      <c r="I158">
        <f>WEEKNUM(A158)</f>
        <v>19</v>
      </c>
    </row>
    <row r="159" spans="1:9" ht="14.25" customHeight="1" x14ac:dyDescent="0.3">
      <c r="A159" s="18">
        <v>43959</v>
      </c>
      <c r="B159" s="20" t="s">
        <v>22</v>
      </c>
      <c r="C159" s="20">
        <v>225076.5</v>
      </c>
      <c r="D159" s="20">
        <v>22846078.5</v>
      </c>
      <c r="E159" s="7">
        <f>VLOOKUP(A159,Лист2!$A$2:$E$505,3)</f>
        <v>10</v>
      </c>
      <c r="F159" s="7">
        <f>VLOOKUP(A159,Лист2!$A$2:$E$505,4)</f>
        <v>638</v>
      </c>
      <c r="G159" s="7">
        <f>VLOOKUP(A159,Лист2!$A$2:$E$505,5)</f>
        <v>547</v>
      </c>
      <c r="H159">
        <f>D159/E159</f>
        <v>2284607.85</v>
      </c>
      <c r="I159">
        <f>WEEKNUM(A159)</f>
        <v>19</v>
      </c>
    </row>
    <row r="160" spans="1:9" ht="14.25" customHeight="1" x14ac:dyDescent="0.3">
      <c r="A160" s="17">
        <v>43958</v>
      </c>
      <c r="B160" s="19" t="s">
        <v>22</v>
      </c>
      <c r="C160" s="19">
        <v>209415</v>
      </c>
      <c r="D160" s="19">
        <v>21463023</v>
      </c>
      <c r="E160" s="7">
        <f>VLOOKUP(A160,Лист2!$A$2:$E$505,3)</f>
        <v>10</v>
      </c>
      <c r="F160" s="7">
        <f>VLOOKUP(A160,Лист2!$A$2:$E$505,4)</f>
        <v>563</v>
      </c>
      <c r="G160" s="7">
        <f>VLOOKUP(A160,Лист2!$A$2:$E$505,5)</f>
        <v>486</v>
      </c>
      <c r="H160">
        <f>D160/E160</f>
        <v>2146302.2999999998</v>
      </c>
      <c r="I160">
        <f>WEEKNUM(A160)</f>
        <v>19</v>
      </c>
    </row>
    <row r="161" spans="1:9" ht="14.25" customHeight="1" x14ac:dyDescent="0.3">
      <c r="A161" s="8">
        <v>43960</v>
      </c>
      <c r="B161" s="9" t="s">
        <v>23</v>
      </c>
      <c r="C161" s="9">
        <v>11745</v>
      </c>
      <c r="D161" s="9">
        <v>955801.5</v>
      </c>
      <c r="E161" s="7">
        <f>VLOOKUP(A161,Лист2!$A$2:$E$505,3)</f>
        <v>10</v>
      </c>
      <c r="F161" s="7">
        <f>VLOOKUP(A161,Лист2!$A$2:$E$505,4)</f>
        <v>644</v>
      </c>
      <c r="G161" s="7">
        <f>VLOOKUP(A161,Лист2!$A$2:$E$505,5)</f>
        <v>559</v>
      </c>
      <c r="H161">
        <f>D161/E161</f>
        <v>95580.15</v>
      </c>
      <c r="I161">
        <f>WEEKNUM(A161)</f>
        <v>19</v>
      </c>
    </row>
    <row r="162" spans="1:9" ht="14.25" customHeight="1" x14ac:dyDescent="0.3">
      <c r="A162" s="5">
        <v>43955</v>
      </c>
      <c r="B162" s="6" t="s">
        <v>23</v>
      </c>
      <c r="C162" s="6">
        <v>11062.5</v>
      </c>
      <c r="D162" s="6">
        <v>906343.5</v>
      </c>
      <c r="E162" s="7">
        <f>VLOOKUP(A162,Лист2!$A$2:$E$505,3)</f>
        <v>10</v>
      </c>
      <c r="F162" s="7">
        <f>VLOOKUP(A162,Лист2!$A$2:$E$505,4)</f>
        <v>462</v>
      </c>
      <c r="G162" s="7">
        <f>VLOOKUP(A162,Лист2!$A$2:$E$505,5)</f>
        <v>396</v>
      </c>
      <c r="H162">
        <f>D162/E162</f>
        <v>90634.35</v>
      </c>
      <c r="I162">
        <f>WEEKNUM(A162)</f>
        <v>19</v>
      </c>
    </row>
    <row r="163" spans="1:9" ht="14.25" customHeight="1" x14ac:dyDescent="0.3">
      <c r="A163" s="8">
        <v>43956</v>
      </c>
      <c r="B163" s="9" t="s">
        <v>23</v>
      </c>
      <c r="C163" s="9">
        <v>13941</v>
      </c>
      <c r="D163" s="9">
        <v>1145575.5</v>
      </c>
      <c r="E163" s="7">
        <f>VLOOKUP(A163,Лист2!$A$2:$E$505,3)</f>
        <v>10</v>
      </c>
      <c r="F163" s="7">
        <f>VLOOKUP(A163,Лист2!$A$2:$E$505,4)</f>
        <v>511</v>
      </c>
      <c r="G163" s="7">
        <f>VLOOKUP(A163,Лист2!$A$2:$E$505,5)</f>
        <v>437</v>
      </c>
      <c r="H163">
        <f>D163/E163</f>
        <v>114557.55</v>
      </c>
      <c r="I163">
        <f>WEEKNUM(A163)</f>
        <v>19</v>
      </c>
    </row>
    <row r="164" spans="1:9" ht="14.25" customHeight="1" x14ac:dyDescent="0.3">
      <c r="A164" s="17">
        <v>43954</v>
      </c>
      <c r="B164" s="19" t="s">
        <v>23</v>
      </c>
      <c r="C164" s="19">
        <v>10032</v>
      </c>
      <c r="D164" s="19">
        <v>816150</v>
      </c>
      <c r="E164" s="7">
        <f>VLOOKUP(A164,Лист2!$A$2:$E$505,3)</f>
        <v>10</v>
      </c>
      <c r="F164" s="7">
        <f>VLOOKUP(A164,Лист2!$A$2:$E$505,4)</f>
        <v>402</v>
      </c>
      <c r="G164" s="7">
        <f>VLOOKUP(A164,Лист2!$A$2:$E$505,5)</f>
        <v>333</v>
      </c>
      <c r="H164">
        <f>D164/E164</f>
        <v>81615</v>
      </c>
      <c r="I164">
        <f>WEEKNUM(A164)</f>
        <v>19</v>
      </c>
    </row>
    <row r="165" spans="1:9" ht="14.25" customHeight="1" x14ac:dyDescent="0.3">
      <c r="A165" s="18">
        <v>43957</v>
      </c>
      <c r="B165" s="20" t="s">
        <v>23</v>
      </c>
      <c r="C165" s="20">
        <v>12468</v>
      </c>
      <c r="D165" s="20">
        <v>1016566.5</v>
      </c>
      <c r="E165" s="7">
        <f>VLOOKUP(A165,Лист2!$A$2:$E$505,3)</f>
        <v>10</v>
      </c>
      <c r="F165" s="7">
        <f>VLOOKUP(A165,Лист2!$A$2:$E$505,4)</f>
        <v>465</v>
      </c>
      <c r="G165" s="7">
        <f>VLOOKUP(A165,Лист2!$A$2:$E$505,5)</f>
        <v>390</v>
      </c>
      <c r="H165">
        <f>D165/E165</f>
        <v>101656.65</v>
      </c>
      <c r="I165">
        <f>WEEKNUM(A165)</f>
        <v>19</v>
      </c>
    </row>
    <row r="166" spans="1:9" ht="14.25" customHeight="1" x14ac:dyDescent="0.3">
      <c r="A166" s="17">
        <v>43959</v>
      </c>
      <c r="B166" s="19" t="s">
        <v>23</v>
      </c>
      <c r="C166" s="19">
        <v>12976.5</v>
      </c>
      <c r="D166" s="19">
        <v>1046848.5</v>
      </c>
      <c r="E166" s="7">
        <f>VLOOKUP(A166,Лист2!$A$2:$E$505,3)</f>
        <v>10</v>
      </c>
      <c r="F166" s="7">
        <f>VLOOKUP(A166,Лист2!$A$2:$E$505,4)</f>
        <v>638</v>
      </c>
      <c r="G166" s="7">
        <f>VLOOKUP(A166,Лист2!$A$2:$E$505,5)</f>
        <v>547</v>
      </c>
      <c r="H166">
        <f>D166/E166</f>
        <v>104684.85</v>
      </c>
      <c r="I166">
        <f>WEEKNUM(A166)</f>
        <v>19</v>
      </c>
    </row>
    <row r="167" spans="1:9" ht="14.25" customHeight="1" x14ac:dyDescent="0.3">
      <c r="A167" s="18">
        <v>43958</v>
      </c>
      <c r="B167" s="20" t="s">
        <v>23</v>
      </c>
      <c r="C167" s="20">
        <v>11719.5</v>
      </c>
      <c r="D167" s="20">
        <v>965880</v>
      </c>
      <c r="E167" s="7">
        <f>VLOOKUP(A167,Лист2!$A$2:$E$505,3)</f>
        <v>10</v>
      </c>
      <c r="F167" s="7">
        <f>VLOOKUP(A167,Лист2!$A$2:$E$505,4)</f>
        <v>563</v>
      </c>
      <c r="G167" s="7">
        <f>VLOOKUP(A167,Лист2!$A$2:$E$505,5)</f>
        <v>486</v>
      </c>
      <c r="H167">
        <f>D167/E167</f>
        <v>96588</v>
      </c>
      <c r="I167">
        <f>WEEKNUM(A167)</f>
        <v>19</v>
      </c>
    </row>
    <row r="168" spans="1:9" ht="14.25" customHeight="1" x14ac:dyDescent="0.3">
      <c r="A168" s="17">
        <v>43967</v>
      </c>
      <c r="B168" s="19" t="s">
        <v>10</v>
      </c>
      <c r="C168" s="19">
        <v>38947.5</v>
      </c>
      <c r="D168" s="19">
        <v>3395892</v>
      </c>
      <c r="E168" s="7">
        <f>VLOOKUP(A168,Лист2!$A$2:$E$505,3)</f>
        <v>10</v>
      </c>
      <c r="F168" s="7">
        <f>VLOOKUP(A168,Лист2!$A$2:$E$505,4)</f>
        <v>760</v>
      </c>
      <c r="G168" s="7">
        <f>VLOOKUP(A168,Лист2!$A$2:$E$505,5)</f>
        <v>672</v>
      </c>
      <c r="H168">
        <f>D168/E168</f>
        <v>339589.2</v>
      </c>
      <c r="I168">
        <f>WEEKNUM(A168)</f>
        <v>20</v>
      </c>
    </row>
    <row r="169" spans="1:9" ht="14.25" customHeight="1" x14ac:dyDescent="0.3">
      <c r="A169" s="18">
        <v>43963</v>
      </c>
      <c r="B169" s="20" t="s">
        <v>10</v>
      </c>
      <c r="C169" s="20">
        <v>28219.5</v>
      </c>
      <c r="D169" s="20">
        <v>2595778.5</v>
      </c>
      <c r="E169" s="7">
        <f>VLOOKUP(A169,Лист2!$A$2:$E$505,3)</f>
        <v>10</v>
      </c>
      <c r="F169" s="7">
        <f>VLOOKUP(A169,Лист2!$A$2:$E$505,4)</f>
        <v>526</v>
      </c>
      <c r="G169" s="7">
        <f>VLOOKUP(A169,Лист2!$A$2:$E$505,5)</f>
        <v>448</v>
      </c>
      <c r="H169">
        <f>D169/E169</f>
        <v>259577.85</v>
      </c>
      <c r="I169">
        <f>WEEKNUM(A169)</f>
        <v>20</v>
      </c>
    </row>
    <row r="170" spans="1:9" ht="14.25" customHeight="1" x14ac:dyDescent="0.3">
      <c r="A170" s="17">
        <v>43964</v>
      </c>
      <c r="B170" s="19" t="s">
        <v>10</v>
      </c>
      <c r="C170" s="19">
        <v>29241</v>
      </c>
      <c r="D170" s="19">
        <v>2629782</v>
      </c>
      <c r="E170" s="7">
        <f>VLOOKUP(A170,Лист2!$A$2:$E$505,3)</f>
        <v>10</v>
      </c>
      <c r="F170" s="7">
        <f>VLOOKUP(A170,Лист2!$A$2:$E$505,4)</f>
        <v>612</v>
      </c>
      <c r="G170" s="7">
        <f>VLOOKUP(A170,Лист2!$A$2:$E$505,5)</f>
        <v>530</v>
      </c>
      <c r="H170">
        <f>D170/E170</f>
        <v>262978.2</v>
      </c>
      <c r="I170">
        <f>WEEKNUM(A170)</f>
        <v>20</v>
      </c>
    </row>
    <row r="171" spans="1:9" ht="14.25" customHeight="1" x14ac:dyDescent="0.3">
      <c r="A171" s="8">
        <v>43961</v>
      </c>
      <c r="B171" s="9" t="s">
        <v>10</v>
      </c>
      <c r="C171" s="9">
        <v>36619.5</v>
      </c>
      <c r="D171" s="9">
        <v>3312967.5</v>
      </c>
      <c r="E171" s="7">
        <f>VLOOKUP(A171,Лист2!$A$2:$E$505,3)</f>
        <v>10</v>
      </c>
      <c r="F171" s="7">
        <f>VLOOKUP(A171,Лист2!$A$2:$E$505,4)</f>
        <v>642</v>
      </c>
      <c r="G171" s="7">
        <f>VLOOKUP(A171,Лист2!$A$2:$E$505,5)</f>
        <v>556</v>
      </c>
      <c r="H171">
        <f>D171/E171</f>
        <v>331296.75</v>
      </c>
      <c r="I171">
        <f>WEEKNUM(A171)</f>
        <v>20</v>
      </c>
    </row>
    <row r="172" spans="1:9" ht="14.25" customHeight="1" x14ac:dyDescent="0.3">
      <c r="A172" s="5">
        <v>43967</v>
      </c>
      <c r="B172" s="6" t="s">
        <v>11</v>
      </c>
      <c r="C172" s="6">
        <v>88063.5</v>
      </c>
      <c r="D172" s="6">
        <v>7583758.5</v>
      </c>
      <c r="E172" s="7">
        <f>VLOOKUP(A172,Лист2!$A$2:$E$505,3)</f>
        <v>10</v>
      </c>
      <c r="F172" s="7">
        <f>VLOOKUP(A172,Лист2!$A$2:$E$505,4)</f>
        <v>760</v>
      </c>
      <c r="G172" s="7">
        <f>VLOOKUP(A172,Лист2!$A$2:$E$505,5)</f>
        <v>672</v>
      </c>
      <c r="H172">
        <f>D172/E172</f>
        <v>758375.85</v>
      </c>
      <c r="I172">
        <f>WEEKNUM(A172)</f>
        <v>20</v>
      </c>
    </row>
    <row r="173" spans="1:9" ht="14.25" customHeight="1" x14ac:dyDescent="0.3">
      <c r="A173" s="8">
        <v>43963</v>
      </c>
      <c r="B173" s="9" t="s">
        <v>11</v>
      </c>
      <c r="C173" s="9">
        <v>71520</v>
      </c>
      <c r="D173" s="9">
        <v>6398361</v>
      </c>
      <c r="E173" s="7">
        <f>VLOOKUP(A173,Лист2!$A$2:$E$505,3)</f>
        <v>10</v>
      </c>
      <c r="F173" s="7">
        <f>VLOOKUP(A173,Лист2!$A$2:$E$505,4)</f>
        <v>526</v>
      </c>
      <c r="G173" s="7">
        <f>VLOOKUP(A173,Лист2!$A$2:$E$505,5)</f>
        <v>448</v>
      </c>
      <c r="H173">
        <f>D173/E173</f>
        <v>639836.1</v>
      </c>
      <c r="I173">
        <f>WEEKNUM(A173)</f>
        <v>20</v>
      </c>
    </row>
    <row r="174" spans="1:9" ht="14.25" customHeight="1" x14ac:dyDescent="0.3">
      <c r="A174" s="5">
        <v>43964</v>
      </c>
      <c r="B174" s="6" t="s">
        <v>11</v>
      </c>
      <c r="C174" s="6">
        <v>78846</v>
      </c>
      <c r="D174" s="6">
        <v>6993952.5</v>
      </c>
      <c r="E174" s="7">
        <f>VLOOKUP(A174,Лист2!$A$2:$E$505,3)</f>
        <v>10</v>
      </c>
      <c r="F174" s="7">
        <f>VLOOKUP(A174,Лист2!$A$2:$E$505,4)</f>
        <v>612</v>
      </c>
      <c r="G174" s="7">
        <f>VLOOKUP(A174,Лист2!$A$2:$E$505,5)</f>
        <v>530</v>
      </c>
      <c r="H174">
        <f>D174/E174</f>
        <v>699395.25</v>
      </c>
      <c r="I174">
        <f>WEEKNUM(A174)</f>
        <v>20</v>
      </c>
    </row>
    <row r="175" spans="1:9" ht="14.25" customHeight="1" x14ac:dyDescent="0.3">
      <c r="A175" s="18">
        <v>43961</v>
      </c>
      <c r="B175" s="20" t="s">
        <v>11</v>
      </c>
      <c r="C175" s="20">
        <v>84132</v>
      </c>
      <c r="D175" s="20">
        <v>7483194</v>
      </c>
      <c r="E175" s="7">
        <f>VLOOKUP(A175,Лист2!$A$2:$E$505,3)</f>
        <v>10</v>
      </c>
      <c r="F175" s="7">
        <f>VLOOKUP(A175,Лист2!$A$2:$E$505,4)</f>
        <v>642</v>
      </c>
      <c r="G175" s="7">
        <f>VLOOKUP(A175,Лист2!$A$2:$E$505,5)</f>
        <v>556</v>
      </c>
      <c r="H175">
        <f>D175/E175</f>
        <v>748319.4</v>
      </c>
      <c r="I175">
        <f>WEEKNUM(A175)</f>
        <v>20</v>
      </c>
    </row>
    <row r="176" spans="1:9" ht="14.25" customHeight="1" x14ac:dyDescent="0.3">
      <c r="A176" s="5">
        <v>43967</v>
      </c>
      <c r="B176" s="6" t="s">
        <v>12</v>
      </c>
      <c r="C176" s="6">
        <v>14265</v>
      </c>
      <c r="D176" s="6">
        <v>1130506.5</v>
      </c>
      <c r="E176" s="7">
        <f>VLOOKUP(A176,Лист2!$A$2:$E$505,3)</f>
        <v>10</v>
      </c>
      <c r="F176" s="7">
        <f>VLOOKUP(A176,Лист2!$A$2:$E$505,4)</f>
        <v>760</v>
      </c>
      <c r="G176" s="7">
        <f>VLOOKUP(A176,Лист2!$A$2:$E$505,5)</f>
        <v>672</v>
      </c>
      <c r="H176">
        <f>D176/E176</f>
        <v>113050.65</v>
      </c>
      <c r="I176">
        <f>WEEKNUM(A176)</f>
        <v>20</v>
      </c>
    </row>
    <row r="177" spans="1:9" ht="14.25" customHeight="1" x14ac:dyDescent="0.3">
      <c r="A177" s="8">
        <v>43963</v>
      </c>
      <c r="B177" s="9" t="s">
        <v>12</v>
      </c>
      <c r="C177" s="9">
        <v>9328.5</v>
      </c>
      <c r="D177" s="9">
        <v>732964.5</v>
      </c>
      <c r="E177" s="7">
        <f>VLOOKUP(A177,Лист2!$A$2:$E$505,3)</f>
        <v>10</v>
      </c>
      <c r="F177" s="7">
        <f>VLOOKUP(A177,Лист2!$A$2:$E$505,4)</f>
        <v>526</v>
      </c>
      <c r="G177" s="7">
        <f>VLOOKUP(A177,Лист2!$A$2:$E$505,5)</f>
        <v>448</v>
      </c>
      <c r="H177">
        <f>D177/E177</f>
        <v>73296.45</v>
      </c>
      <c r="I177">
        <f>WEEKNUM(A177)</f>
        <v>20</v>
      </c>
    </row>
    <row r="178" spans="1:9" ht="14.25" customHeight="1" x14ac:dyDescent="0.3">
      <c r="A178" s="5">
        <v>43964</v>
      </c>
      <c r="B178" s="6" t="s">
        <v>12</v>
      </c>
      <c r="C178" s="6">
        <v>11202</v>
      </c>
      <c r="D178" s="6">
        <v>865714.5</v>
      </c>
      <c r="E178" s="7">
        <f>VLOOKUP(A178,Лист2!$A$2:$E$505,3)</f>
        <v>10</v>
      </c>
      <c r="F178" s="7">
        <f>VLOOKUP(A178,Лист2!$A$2:$E$505,4)</f>
        <v>612</v>
      </c>
      <c r="G178" s="7">
        <f>VLOOKUP(A178,Лист2!$A$2:$E$505,5)</f>
        <v>530</v>
      </c>
      <c r="H178">
        <f>D178/E178</f>
        <v>86571.45</v>
      </c>
      <c r="I178">
        <f>WEEKNUM(A178)</f>
        <v>20</v>
      </c>
    </row>
    <row r="179" spans="1:9" ht="14.25" customHeight="1" x14ac:dyDescent="0.3">
      <c r="A179" s="8">
        <v>43961</v>
      </c>
      <c r="B179" s="9" t="s">
        <v>12</v>
      </c>
      <c r="C179" s="9">
        <v>12918</v>
      </c>
      <c r="D179" s="9">
        <v>1004788.5</v>
      </c>
      <c r="E179" s="7">
        <f>VLOOKUP(A179,Лист2!$A$2:$E$505,3)</f>
        <v>10</v>
      </c>
      <c r="F179" s="7">
        <f>VLOOKUP(A179,Лист2!$A$2:$E$505,4)</f>
        <v>642</v>
      </c>
      <c r="G179" s="7">
        <f>VLOOKUP(A179,Лист2!$A$2:$E$505,5)</f>
        <v>556</v>
      </c>
      <c r="H179">
        <f>D179/E179</f>
        <v>100478.85</v>
      </c>
      <c r="I179">
        <f>WEEKNUM(A179)</f>
        <v>20</v>
      </c>
    </row>
    <row r="180" spans="1:9" ht="14.25" customHeight="1" x14ac:dyDescent="0.3">
      <c r="A180" s="5">
        <v>43967</v>
      </c>
      <c r="B180" s="6" t="s">
        <v>13</v>
      </c>
      <c r="C180" s="6">
        <v>35482.5</v>
      </c>
      <c r="D180" s="6">
        <v>3222517.5</v>
      </c>
      <c r="E180" s="7">
        <f>VLOOKUP(A180,Лист2!$A$2:$E$505,3)</f>
        <v>10</v>
      </c>
      <c r="F180" s="7">
        <f>VLOOKUP(A180,Лист2!$A$2:$E$505,4)</f>
        <v>760</v>
      </c>
      <c r="G180" s="7">
        <f>VLOOKUP(A180,Лист2!$A$2:$E$505,5)</f>
        <v>672</v>
      </c>
      <c r="H180">
        <f>D180/E180</f>
        <v>322251.75</v>
      </c>
      <c r="I180">
        <f>WEEKNUM(A180)</f>
        <v>20</v>
      </c>
    </row>
    <row r="181" spans="1:9" ht="14.25" customHeight="1" x14ac:dyDescent="0.3">
      <c r="A181" s="8">
        <v>43963</v>
      </c>
      <c r="B181" s="9" t="s">
        <v>13</v>
      </c>
      <c r="C181" s="9">
        <v>26032.5</v>
      </c>
      <c r="D181" s="9">
        <v>2370432</v>
      </c>
      <c r="E181" s="7">
        <f>VLOOKUP(A181,Лист2!$A$2:$E$505,3)</f>
        <v>10</v>
      </c>
      <c r="F181" s="7">
        <f>VLOOKUP(A181,Лист2!$A$2:$E$505,4)</f>
        <v>526</v>
      </c>
      <c r="G181" s="7">
        <f>VLOOKUP(A181,Лист2!$A$2:$E$505,5)</f>
        <v>448</v>
      </c>
      <c r="H181">
        <f>D181/E181</f>
        <v>237043.20000000001</v>
      </c>
      <c r="I181">
        <f>WEEKNUM(A181)</f>
        <v>20</v>
      </c>
    </row>
    <row r="182" spans="1:9" ht="14.25" customHeight="1" x14ac:dyDescent="0.3">
      <c r="A182" s="5">
        <v>43964</v>
      </c>
      <c r="B182" s="6" t="s">
        <v>13</v>
      </c>
      <c r="C182" s="6">
        <v>26464.5</v>
      </c>
      <c r="D182" s="6">
        <v>2373337.5</v>
      </c>
      <c r="E182" s="7">
        <f>VLOOKUP(A182,Лист2!$A$2:$E$505,3)</f>
        <v>10</v>
      </c>
      <c r="F182" s="7">
        <f>VLOOKUP(A182,Лист2!$A$2:$E$505,4)</f>
        <v>612</v>
      </c>
      <c r="G182" s="7">
        <f>VLOOKUP(A182,Лист2!$A$2:$E$505,5)</f>
        <v>530</v>
      </c>
      <c r="H182">
        <f>D182/E182</f>
        <v>237333.75</v>
      </c>
      <c r="I182">
        <f>WEEKNUM(A182)</f>
        <v>20</v>
      </c>
    </row>
    <row r="183" spans="1:9" ht="14.25" customHeight="1" x14ac:dyDescent="0.3">
      <c r="A183" s="18">
        <v>43961</v>
      </c>
      <c r="B183" s="20" t="s">
        <v>13</v>
      </c>
      <c r="C183" s="20">
        <v>31399.5</v>
      </c>
      <c r="D183" s="20">
        <v>2862298.5</v>
      </c>
      <c r="E183" s="7">
        <f>VLOOKUP(A183,Лист2!$A$2:$E$505,3)</f>
        <v>10</v>
      </c>
      <c r="F183" s="7">
        <f>VLOOKUP(A183,Лист2!$A$2:$E$505,4)</f>
        <v>642</v>
      </c>
      <c r="G183" s="7">
        <f>VLOOKUP(A183,Лист2!$A$2:$E$505,5)</f>
        <v>556</v>
      </c>
      <c r="H183">
        <f>D183/E183</f>
        <v>286229.84999999998</v>
      </c>
      <c r="I183">
        <f>WEEKNUM(A183)</f>
        <v>20</v>
      </c>
    </row>
    <row r="184" spans="1:9" ht="14.25" customHeight="1" x14ac:dyDescent="0.3">
      <c r="A184" s="17">
        <v>43967</v>
      </c>
      <c r="B184" s="19" t="s">
        <v>14</v>
      </c>
      <c r="C184" s="19">
        <v>321412.5</v>
      </c>
      <c r="D184" s="19">
        <v>32235864</v>
      </c>
      <c r="E184" s="7">
        <f>VLOOKUP(A184,Лист2!$A$2:$E$505,3)</f>
        <v>10</v>
      </c>
      <c r="F184" s="7">
        <f>VLOOKUP(A184,Лист2!$A$2:$E$505,4)</f>
        <v>760</v>
      </c>
      <c r="G184" s="7">
        <f>VLOOKUP(A184,Лист2!$A$2:$E$505,5)</f>
        <v>672</v>
      </c>
      <c r="H184">
        <f>D184/E184</f>
        <v>3223586.4</v>
      </c>
      <c r="I184">
        <f>WEEKNUM(A184)</f>
        <v>20</v>
      </c>
    </row>
    <row r="185" spans="1:9" ht="14.25" customHeight="1" x14ac:dyDescent="0.3">
      <c r="A185" s="18">
        <v>43963</v>
      </c>
      <c r="B185" s="20" t="s">
        <v>14</v>
      </c>
      <c r="C185" s="20">
        <v>281796</v>
      </c>
      <c r="D185" s="20">
        <v>29042520</v>
      </c>
      <c r="E185" s="7">
        <f>VLOOKUP(A185,Лист2!$A$2:$E$505,3)</f>
        <v>10</v>
      </c>
      <c r="F185" s="7">
        <f>VLOOKUP(A185,Лист2!$A$2:$E$505,4)</f>
        <v>526</v>
      </c>
      <c r="G185" s="7">
        <f>VLOOKUP(A185,Лист2!$A$2:$E$505,5)</f>
        <v>448</v>
      </c>
      <c r="H185">
        <f>D185/E185</f>
        <v>2904252</v>
      </c>
      <c r="I185">
        <f>WEEKNUM(A185)</f>
        <v>20</v>
      </c>
    </row>
    <row r="186" spans="1:9" ht="14.25" customHeight="1" x14ac:dyDescent="0.3">
      <c r="A186" s="17">
        <v>43964</v>
      </c>
      <c r="B186" s="19" t="s">
        <v>14</v>
      </c>
      <c r="C186" s="19">
        <v>258459</v>
      </c>
      <c r="D186" s="19">
        <v>26467453.5</v>
      </c>
      <c r="E186" s="7">
        <f>VLOOKUP(A186,Лист2!$A$2:$E$505,3)</f>
        <v>10</v>
      </c>
      <c r="F186" s="7">
        <f>VLOOKUP(A186,Лист2!$A$2:$E$505,4)</f>
        <v>612</v>
      </c>
      <c r="G186" s="7">
        <f>VLOOKUP(A186,Лист2!$A$2:$E$505,5)</f>
        <v>530</v>
      </c>
      <c r="H186">
        <f>D186/E186</f>
        <v>2646745.35</v>
      </c>
      <c r="I186">
        <f>WEEKNUM(A186)</f>
        <v>20</v>
      </c>
    </row>
    <row r="187" spans="1:9" ht="14.25" customHeight="1" x14ac:dyDescent="0.3">
      <c r="A187" s="8">
        <v>43961</v>
      </c>
      <c r="B187" s="9" t="s">
        <v>14</v>
      </c>
      <c r="C187" s="9">
        <v>287206.5</v>
      </c>
      <c r="D187" s="9">
        <v>29536176.10605</v>
      </c>
      <c r="E187" s="7">
        <f>VLOOKUP(A187,Лист2!$A$2:$E$505,3)</f>
        <v>10</v>
      </c>
      <c r="F187" s="7">
        <f>VLOOKUP(A187,Лист2!$A$2:$E$505,4)</f>
        <v>642</v>
      </c>
      <c r="G187" s="7">
        <f>VLOOKUP(A187,Лист2!$A$2:$E$505,5)</f>
        <v>556</v>
      </c>
      <c r="H187">
        <f>D187/E187</f>
        <v>2953617.6106050001</v>
      </c>
      <c r="I187">
        <f>WEEKNUM(A187)</f>
        <v>20</v>
      </c>
    </row>
    <row r="188" spans="1:9" ht="14.25" customHeight="1" x14ac:dyDescent="0.3">
      <c r="A188" s="17">
        <v>43967</v>
      </c>
      <c r="B188" s="19" t="s">
        <v>15</v>
      </c>
      <c r="C188" s="19">
        <v>408810</v>
      </c>
      <c r="D188" s="19">
        <v>42323631</v>
      </c>
      <c r="E188" s="7">
        <f>VLOOKUP(A188,Лист2!$A$2:$E$505,3)</f>
        <v>10</v>
      </c>
      <c r="F188" s="7">
        <f>VLOOKUP(A188,Лист2!$A$2:$E$505,4)</f>
        <v>760</v>
      </c>
      <c r="G188" s="7">
        <f>VLOOKUP(A188,Лист2!$A$2:$E$505,5)</f>
        <v>672</v>
      </c>
      <c r="H188">
        <f>D188/E188</f>
        <v>4232363.0999999996</v>
      </c>
      <c r="I188">
        <f>WEEKNUM(A188)</f>
        <v>20</v>
      </c>
    </row>
    <row r="189" spans="1:9" ht="14.25" customHeight="1" x14ac:dyDescent="0.3">
      <c r="A189" s="18">
        <v>43963</v>
      </c>
      <c r="B189" s="20" t="s">
        <v>15</v>
      </c>
      <c r="C189" s="20">
        <v>373392</v>
      </c>
      <c r="D189" s="20">
        <v>39578577</v>
      </c>
      <c r="E189" s="7">
        <f>VLOOKUP(A189,Лист2!$A$2:$E$505,3)</f>
        <v>10</v>
      </c>
      <c r="F189" s="7">
        <f>VLOOKUP(A189,Лист2!$A$2:$E$505,4)</f>
        <v>526</v>
      </c>
      <c r="G189" s="7">
        <f>VLOOKUP(A189,Лист2!$A$2:$E$505,5)</f>
        <v>448</v>
      </c>
      <c r="H189">
        <f>D189/E189</f>
        <v>3957857.7</v>
      </c>
      <c r="I189">
        <f>WEEKNUM(A189)</f>
        <v>20</v>
      </c>
    </row>
    <row r="190" spans="1:9" ht="14.25" customHeight="1" x14ac:dyDescent="0.3">
      <c r="A190" s="17">
        <v>43964</v>
      </c>
      <c r="B190" s="19" t="s">
        <v>15</v>
      </c>
      <c r="C190" s="19">
        <v>350068.5</v>
      </c>
      <c r="D190" s="19">
        <v>37197115.5</v>
      </c>
      <c r="E190" s="7">
        <f>VLOOKUP(A190,Лист2!$A$2:$E$505,3)</f>
        <v>10</v>
      </c>
      <c r="F190" s="7">
        <f>VLOOKUP(A190,Лист2!$A$2:$E$505,4)</f>
        <v>612</v>
      </c>
      <c r="G190" s="7">
        <f>VLOOKUP(A190,Лист2!$A$2:$E$505,5)</f>
        <v>530</v>
      </c>
      <c r="H190">
        <f>D190/E190</f>
        <v>3719711.55</v>
      </c>
      <c r="I190">
        <f>WEEKNUM(A190)</f>
        <v>20</v>
      </c>
    </row>
    <row r="191" spans="1:9" ht="14.25" customHeight="1" x14ac:dyDescent="0.3">
      <c r="A191" s="18">
        <v>43961</v>
      </c>
      <c r="B191" s="20" t="s">
        <v>15</v>
      </c>
      <c r="C191" s="20">
        <v>368649</v>
      </c>
      <c r="D191" s="20">
        <v>39010875</v>
      </c>
      <c r="E191" s="7">
        <f>VLOOKUP(A191,Лист2!$A$2:$E$505,3)</f>
        <v>10</v>
      </c>
      <c r="F191" s="7">
        <f>VLOOKUP(A191,Лист2!$A$2:$E$505,4)</f>
        <v>642</v>
      </c>
      <c r="G191" s="7">
        <f>VLOOKUP(A191,Лист2!$A$2:$E$505,5)</f>
        <v>556</v>
      </c>
      <c r="H191">
        <f>D191/E191</f>
        <v>3901087.5</v>
      </c>
      <c r="I191">
        <f>WEEKNUM(A191)</f>
        <v>20</v>
      </c>
    </row>
    <row r="192" spans="1:9" ht="14.25" customHeight="1" x14ac:dyDescent="0.3">
      <c r="A192" s="5">
        <v>43967</v>
      </c>
      <c r="B192" s="6" t="s">
        <v>16</v>
      </c>
      <c r="C192" s="6">
        <v>81331.5</v>
      </c>
      <c r="D192" s="6">
        <v>6652179</v>
      </c>
      <c r="E192" s="7">
        <f>VLOOKUP(A192,Лист2!$A$2:$E$505,3)</f>
        <v>10</v>
      </c>
      <c r="F192" s="7">
        <f>VLOOKUP(A192,Лист2!$A$2:$E$505,4)</f>
        <v>760</v>
      </c>
      <c r="G192" s="7">
        <f>VLOOKUP(A192,Лист2!$A$2:$E$505,5)</f>
        <v>672</v>
      </c>
      <c r="H192">
        <f>D192/E192</f>
        <v>665217.9</v>
      </c>
      <c r="I192">
        <f>WEEKNUM(A192)</f>
        <v>20</v>
      </c>
    </row>
    <row r="193" spans="1:9" ht="14.25" customHeight="1" x14ac:dyDescent="0.3">
      <c r="A193" s="8">
        <v>43963</v>
      </c>
      <c r="B193" s="9" t="s">
        <v>16</v>
      </c>
      <c r="C193" s="9">
        <v>64390.5</v>
      </c>
      <c r="D193" s="9">
        <v>5523145.5</v>
      </c>
      <c r="E193" s="7">
        <f>VLOOKUP(A193,Лист2!$A$2:$E$505,3)</f>
        <v>10</v>
      </c>
      <c r="F193" s="7">
        <f>VLOOKUP(A193,Лист2!$A$2:$E$505,4)</f>
        <v>526</v>
      </c>
      <c r="G193" s="7">
        <f>VLOOKUP(A193,Лист2!$A$2:$E$505,5)</f>
        <v>448</v>
      </c>
      <c r="H193">
        <f>D193/E193</f>
        <v>552314.55000000005</v>
      </c>
      <c r="I193">
        <f>WEEKNUM(A193)</f>
        <v>20</v>
      </c>
    </row>
    <row r="194" spans="1:9" ht="14.25" customHeight="1" x14ac:dyDescent="0.3">
      <c r="A194" s="5">
        <v>43964</v>
      </c>
      <c r="B194" s="6" t="s">
        <v>16</v>
      </c>
      <c r="C194" s="6">
        <v>73062</v>
      </c>
      <c r="D194" s="6">
        <v>6333828</v>
      </c>
      <c r="E194" s="7">
        <f>VLOOKUP(A194,Лист2!$A$2:$E$505,3)</f>
        <v>10</v>
      </c>
      <c r="F194" s="7">
        <f>VLOOKUP(A194,Лист2!$A$2:$E$505,4)</f>
        <v>612</v>
      </c>
      <c r="G194" s="7">
        <f>VLOOKUP(A194,Лист2!$A$2:$E$505,5)</f>
        <v>530</v>
      </c>
      <c r="H194">
        <f>D194/E194</f>
        <v>633382.80000000005</v>
      </c>
      <c r="I194">
        <f>WEEKNUM(A194)</f>
        <v>20</v>
      </c>
    </row>
    <row r="195" spans="1:9" ht="14.25" customHeight="1" x14ac:dyDescent="0.3">
      <c r="A195" s="8">
        <v>43961</v>
      </c>
      <c r="B195" s="9" t="s">
        <v>16</v>
      </c>
      <c r="C195" s="9">
        <v>88311</v>
      </c>
      <c r="D195" s="9">
        <v>7726069.5</v>
      </c>
      <c r="E195" s="7">
        <f>VLOOKUP(A195,Лист2!$A$2:$E$505,3)</f>
        <v>10</v>
      </c>
      <c r="F195" s="7">
        <f>VLOOKUP(A195,Лист2!$A$2:$E$505,4)</f>
        <v>642</v>
      </c>
      <c r="G195" s="7">
        <f>VLOOKUP(A195,Лист2!$A$2:$E$505,5)</f>
        <v>556</v>
      </c>
      <c r="H195">
        <f>D195/E195</f>
        <v>772606.95</v>
      </c>
      <c r="I195">
        <f>WEEKNUM(A195)</f>
        <v>20</v>
      </c>
    </row>
    <row r="196" spans="1:9" ht="14.25" customHeight="1" x14ac:dyDescent="0.3">
      <c r="A196" s="17">
        <v>43967</v>
      </c>
      <c r="B196" s="19" t="s">
        <v>17</v>
      </c>
      <c r="C196" s="19">
        <v>44560.5</v>
      </c>
      <c r="D196" s="19">
        <v>4025148</v>
      </c>
      <c r="E196" s="7">
        <f>VLOOKUP(A196,Лист2!$A$2:$E$505,3)</f>
        <v>10</v>
      </c>
      <c r="F196" s="7">
        <f>VLOOKUP(A196,Лист2!$A$2:$E$505,4)</f>
        <v>760</v>
      </c>
      <c r="G196" s="7">
        <f>VLOOKUP(A196,Лист2!$A$2:$E$505,5)</f>
        <v>672</v>
      </c>
      <c r="H196">
        <f>D196/E196</f>
        <v>402514.8</v>
      </c>
      <c r="I196">
        <f>WEEKNUM(A196)</f>
        <v>20</v>
      </c>
    </row>
    <row r="197" spans="1:9" ht="14.25" customHeight="1" x14ac:dyDescent="0.3">
      <c r="A197" s="18">
        <v>43963</v>
      </c>
      <c r="B197" s="20" t="s">
        <v>17</v>
      </c>
      <c r="C197" s="20">
        <v>32419.5</v>
      </c>
      <c r="D197" s="20">
        <v>3080614.5</v>
      </c>
      <c r="E197" s="7">
        <f>VLOOKUP(A197,Лист2!$A$2:$E$505,3)</f>
        <v>10</v>
      </c>
      <c r="F197" s="7">
        <f>VLOOKUP(A197,Лист2!$A$2:$E$505,4)</f>
        <v>526</v>
      </c>
      <c r="G197" s="7">
        <f>VLOOKUP(A197,Лист2!$A$2:$E$505,5)</f>
        <v>448</v>
      </c>
      <c r="H197">
        <f>D197/E197</f>
        <v>308061.45</v>
      </c>
      <c r="I197">
        <f>WEEKNUM(A197)</f>
        <v>20</v>
      </c>
    </row>
    <row r="198" spans="1:9" ht="14.25" customHeight="1" x14ac:dyDescent="0.3">
      <c r="A198" s="17">
        <v>43964</v>
      </c>
      <c r="B198" s="19" t="s">
        <v>17</v>
      </c>
      <c r="C198" s="19">
        <v>35535</v>
      </c>
      <c r="D198" s="19">
        <v>3288069</v>
      </c>
      <c r="E198" s="7">
        <f>VLOOKUP(A198,Лист2!$A$2:$E$505,3)</f>
        <v>10</v>
      </c>
      <c r="F198" s="7">
        <f>VLOOKUP(A198,Лист2!$A$2:$E$505,4)</f>
        <v>612</v>
      </c>
      <c r="G198" s="7">
        <f>VLOOKUP(A198,Лист2!$A$2:$E$505,5)</f>
        <v>530</v>
      </c>
      <c r="H198">
        <f>D198/E198</f>
        <v>328806.90000000002</v>
      </c>
      <c r="I198">
        <f>WEEKNUM(A198)</f>
        <v>20</v>
      </c>
    </row>
    <row r="199" spans="1:9" ht="14.25" customHeight="1" x14ac:dyDescent="0.3">
      <c r="A199" s="18">
        <v>43961</v>
      </c>
      <c r="B199" s="20" t="s">
        <v>17</v>
      </c>
      <c r="C199" s="20">
        <v>37489.5</v>
      </c>
      <c r="D199" s="20">
        <v>3549097.5</v>
      </c>
      <c r="E199" s="7">
        <f>VLOOKUP(A199,Лист2!$A$2:$E$505,3)</f>
        <v>10</v>
      </c>
      <c r="F199" s="7">
        <f>VLOOKUP(A199,Лист2!$A$2:$E$505,4)</f>
        <v>642</v>
      </c>
      <c r="G199" s="7">
        <f>VLOOKUP(A199,Лист2!$A$2:$E$505,5)</f>
        <v>556</v>
      </c>
      <c r="H199">
        <f>D199/E199</f>
        <v>354909.75</v>
      </c>
      <c r="I199">
        <f>WEEKNUM(A199)</f>
        <v>20</v>
      </c>
    </row>
    <row r="200" spans="1:9" ht="14.25" customHeight="1" x14ac:dyDescent="0.3">
      <c r="A200" s="17">
        <v>43967</v>
      </c>
      <c r="B200" s="19" t="s">
        <v>18</v>
      </c>
      <c r="C200" s="19">
        <v>18600</v>
      </c>
      <c r="D200" s="19">
        <v>1601425.5</v>
      </c>
      <c r="E200" s="7">
        <f>VLOOKUP(A200,Лист2!$A$2:$E$505,3)</f>
        <v>10</v>
      </c>
      <c r="F200" s="7">
        <f>VLOOKUP(A200,Лист2!$A$2:$E$505,4)</f>
        <v>760</v>
      </c>
      <c r="G200" s="7">
        <f>VLOOKUP(A200,Лист2!$A$2:$E$505,5)</f>
        <v>672</v>
      </c>
      <c r="H200">
        <f>D200/E200</f>
        <v>160142.54999999999</v>
      </c>
      <c r="I200">
        <f>WEEKNUM(A200)</f>
        <v>20</v>
      </c>
    </row>
    <row r="201" spans="1:9" ht="14.25" customHeight="1" x14ac:dyDescent="0.3">
      <c r="A201" s="18">
        <v>43963</v>
      </c>
      <c r="B201" s="20" t="s">
        <v>18</v>
      </c>
      <c r="C201" s="20">
        <v>12802.5</v>
      </c>
      <c r="D201" s="20">
        <v>1123830</v>
      </c>
      <c r="E201" s="7">
        <f>VLOOKUP(A201,Лист2!$A$2:$E$505,3)</f>
        <v>10</v>
      </c>
      <c r="F201" s="7">
        <f>VLOOKUP(A201,Лист2!$A$2:$E$505,4)</f>
        <v>526</v>
      </c>
      <c r="G201" s="7">
        <f>VLOOKUP(A201,Лист2!$A$2:$E$505,5)</f>
        <v>448</v>
      </c>
      <c r="H201">
        <f>D201/E201</f>
        <v>112383</v>
      </c>
      <c r="I201">
        <f>WEEKNUM(A201)</f>
        <v>20</v>
      </c>
    </row>
    <row r="202" spans="1:9" ht="14.25" customHeight="1" x14ac:dyDescent="0.3">
      <c r="A202" s="17">
        <v>43964</v>
      </c>
      <c r="B202" s="19" t="s">
        <v>18</v>
      </c>
      <c r="C202" s="19">
        <v>14305.5</v>
      </c>
      <c r="D202" s="19">
        <v>1243507.5</v>
      </c>
      <c r="E202" s="7">
        <f>VLOOKUP(A202,Лист2!$A$2:$E$505,3)</f>
        <v>10</v>
      </c>
      <c r="F202" s="7">
        <f>VLOOKUP(A202,Лист2!$A$2:$E$505,4)</f>
        <v>612</v>
      </c>
      <c r="G202" s="7">
        <f>VLOOKUP(A202,Лист2!$A$2:$E$505,5)</f>
        <v>530</v>
      </c>
      <c r="H202">
        <f>D202/E202</f>
        <v>124350.75</v>
      </c>
      <c r="I202">
        <f>WEEKNUM(A202)</f>
        <v>20</v>
      </c>
    </row>
    <row r="203" spans="1:9" ht="14.25" customHeight="1" x14ac:dyDescent="0.3">
      <c r="A203" s="8">
        <v>43961</v>
      </c>
      <c r="B203" s="9" t="s">
        <v>18</v>
      </c>
      <c r="C203" s="9">
        <v>16435.5</v>
      </c>
      <c r="D203" s="9">
        <v>1471537.5</v>
      </c>
      <c r="E203" s="7">
        <f>VLOOKUP(A203,Лист2!$A$2:$E$505,3)</f>
        <v>10</v>
      </c>
      <c r="F203" s="7">
        <f>VLOOKUP(A203,Лист2!$A$2:$E$505,4)</f>
        <v>642</v>
      </c>
      <c r="G203" s="7">
        <f>VLOOKUP(A203,Лист2!$A$2:$E$505,5)</f>
        <v>556</v>
      </c>
      <c r="H203">
        <f>D203/E203</f>
        <v>147153.75</v>
      </c>
      <c r="I203">
        <f>WEEKNUM(A203)</f>
        <v>20</v>
      </c>
    </row>
    <row r="204" spans="1:9" ht="14.25" customHeight="1" x14ac:dyDescent="0.3">
      <c r="A204" s="17">
        <v>43967</v>
      </c>
      <c r="B204" s="19" t="s">
        <v>19</v>
      </c>
      <c r="C204" s="19">
        <v>13120.5</v>
      </c>
      <c r="D204" s="19">
        <v>1215033</v>
      </c>
      <c r="E204" s="7">
        <f>VLOOKUP(A204,Лист2!$A$2:$E$505,3)</f>
        <v>10</v>
      </c>
      <c r="F204" s="7">
        <f>VLOOKUP(A204,Лист2!$A$2:$E$505,4)</f>
        <v>760</v>
      </c>
      <c r="G204" s="7">
        <f>VLOOKUP(A204,Лист2!$A$2:$E$505,5)</f>
        <v>672</v>
      </c>
      <c r="H204">
        <f>D204/E204</f>
        <v>121503.3</v>
      </c>
      <c r="I204">
        <f>WEEKNUM(A204)</f>
        <v>20</v>
      </c>
    </row>
    <row r="205" spans="1:9" ht="14.25" customHeight="1" x14ac:dyDescent="0.3">
      <c r="A205" s="18">
        <v>43963</v>
      </c>
      <c r="B205" s="20" t="s">
        <v>19</v>
      </c>
      <c r="C205" s="20">
        <v>11296.5</v>
      </c>
      <c r="D205" s="20">
        <v>989632.5</v>
      </c>
      <c r="E205" s="7">
        <f>VLOOKUP(A205,Лист2!$A$2:$E$505,3)</f>
        <v>10</v>
      </c>
      <c r="F205" s="7">
        <f>VLOOKUP(A205,Лист2!$A$2:$E$505,4)</f>
        <v>526</v>
      </c>
      <c r="G205" s="7">
        <f>VLOOKUP(A205,Лист2!$A$2:$E$505,5)</f>
        <v>448</v>
      </c>
      <c r="H205">
        <f>D205/E205</f>
        <v>98963.25</v>
      </c>
      <c r="I205">
        <f>WEEKNUM(A205)</f>
        <v>20</v>
      </c>
    </row>
    <row r="206" spans="1:9" ht="14.25" customHeight="1" x14ac:dyDescent="0.3">
      <c r="A206" s="17">
        <v>43964</v>
      </c>
      <c r="B206" s="19" t="s">
        <v>19</v>
      </c>
      <c r="C206" s="19">
        <v>10401</v>
      </c>
      <c r="D206" s="19">
        <v>949912.5</v>
      </c>
      <c r="E206" s="7">
        <f>VLOOKUP(A206,Лист2!$A$2:$E$505,3)</f>
        <v>10</v>
      </c>
      <c r="F206" s="7">
        <f>VLOOKUP(A206,Лист2!$A$2:$E$505,4)</f>
        <v>612</v>
      </c>
      <c r="G206" s="7">
        <f>VLOOKUP(A206,Лист2!$A$2:$E$505,5)</f>
        <v>530</v>
      </c>
      <c r="H206">
        <f>D206/E206</f>
        <v>94991.25</v>
      </c>
      <c r="I206">
        <f>WEEKNUM(A206)</f>
        <v>20</v>
      </c>
    </row>
    <row r="207" spans="1:9" ht="14.25" customHeight="1" x14ac:dyDescent="0.3">
      <c r="A207" s="18">
        <v>43961</v>
      </c>
      <c r="B207" s="20" t="s">
        <v>19</v>
      </c>
      <c r="C207" s="20">
        <v>13440</v>
      </c>
      <c r="D207" s="20">
        <v>1198285.5</v>
      </c>
      <c r="E207" s="7">
        <f>VLOOKUP(A207,Лист2!$A$2:$E$505,3)</f>
        <v>10</v>
      </c>
      <c r="F207" s="7">
        <f>VLOOKUP(A207,Лист2!$A$2:$E$505,4)</f>
        <v>642</v>
      </c>
      <c r="G207" s="7">
        <f>VLOOKUP(A207,Лист2!$A$2:$E$505,5)</f>
        <v>556</v>
      </c>
      <c r="H207">
        <f>D207/E207</f>
        <v>119828.55</v>
      </c>
      <c r="I207">
        <f>WEEKNUM(A207)</f>
        <v>20</v>
      </c>
    </row>
    <row r="208" spans="1:9" ht="14.25" customHeight="1" x14ac:dyDescent="0.3">
      <c r="A208" s="5">
        <v>43967</v>
      </c>
      <c r="B208" s="6" t="s">
        <v>20</v>
      </c>
      <c r="C208" s="6">
        <v>34563</v>
      </c>
      <c r="D208" s="6">
        <v>2922883.5</v>
      </c>
      <c r="E208" s="7">
        <f>VLOOKUP(A208,Лист2!$A$2:$E$505,3)</f>
        <v>10</v>
      </c>
      <c r="F208" s="7">
        <f>VLOOKUP(A208,Лист2!$A$2:$E$505,4)</f>
        <v>760</v>
      </c>
      <c r="G208" s="7">
        <f>VLOOKUP(A208,Лист2!$A$2:$E$505,5)</f>
        <v>672</v>
      </c>
      <c r="H208">
        <f>D208/E208</f>
        <v>292288.34999999998</v>
      </c>
      <c r="I208">
        <f>WEEKNUM(A208)</f>
        <v>20</v>
      </c>
    </row>
    <row r="209" spans="1:9" ht="14.25" customHeight="1" x14ac:dyDescent="0.3">
      <c r="A209" s="18">
        <v>43963</v>
      </c>
      <c r="B209" s="20" t="s">
        <v>20</v>
      </c>
      <c r="C209" s="20">
        <v>25483.5</v>
      </c>
      <c r="D209" s="20">
        <v>2243160</v>
      </c>
      <c r="E209" s="7">
        <f>VLOOKUP(A209,Лист2!$A$2:$E$505,3)</f>
        <v>10</v>
      </c>
      <c r="F209" s="7">
        <f>VLOOKUP(A209,Лист2!$A$2:$E$505,4)</f>
        <v>526</v>
      </c>
      <c r="G209" s="7">
        <f>VLOOKUP(A209,Лист2!$A$2:$E$505,5)</f>
        <v>448</v>
      </c>
      <c r="H209">
        <f>D209/E209</f>
        <v>224316</v>
      </c>
      <c r="I209">
        <f>WEEKNUM(A209)</f>
        <v>20</v>
      </c>
    </row>
    <row r="210" spans="1:9" ht="14.25" customHeight="1" x14ac:dyDescent="0.3">
      <c r="A210" s="5">
        <v>43964</v>
      </c>
      <c r="B210" s="6" t="s">
        <v>20</v>
      </c>
      <c r="C210" s="6">
        <v>25539</v>
      </c>
      <c r="D210" s="6">
        <v>2263651.5</v>
      </c>
      <c r="E210" s="7">
        <f>VLOOKUP(A210,Лист2!$A$2:$E$505,3)</f>
        <v>10</v>
      </c>
      <c r="F210" s="7">
        <f>VLOOKUP(A210,Лист2!$A$2:$E$505,4)</f>
        <v>612</v>
      </c>
      <c r="G210" s="7">
        <f>VLOOKUP(A210,Лист2!$A$2:$E$505,5)</f>
        <v>530</v>
      </c>
      <c r="H210">
        <f>D210/E210</f>
        <v>226365.15</v>
      </c>
      <c r="I210">
        <f>WEEKNUM(A210)</f>
        <v>20</v>
      </c>
    </row>
    <row r="211" spans="1:9" ht="14.25" customHeight="1" x14ac:dyDescent="0.3">
      <c r="A211" s="8">
        <v>43961</v>
      </c>
      <c r="B211" s="9" t="s">
        <v>20</v>
      </c>
      <c r="C211" s="9">
        <v>31224</v>
      </c>
      <c r="D211" s="9">
        <v>2767270.5</v>
      </c>
      <c r="E211" s="7">
        <f>VLOOKUP(A211,Лист2!$A$2:$E$505,3)</f>
        <v>10</v>
      </c>
      <c r="F211" s="7">
        <f>VLOOKUP(A211,Лист2!$A$2:$E$505,4)</f>
        <v>642</v>
      </c>
      <c r="G211" s="7">
        <f>VLOOKUP(A211,Лист2!$A$2:$E$505,5)</f>
        <v>556</v>
      </c>
      <c r="H211">
        <f>D211/E211</f>
        <v>276727.05</v>
      </c>
      <c r="I211">
        <f>WEEKNUM(A211)</f>
        <v>20</v>
      </c>
    </row>
    <row r="212" spans="1:9" ht="14.25" customHeight="1" x14ac:dyDescent="0.3">
      <c r="A212" s="5">
        <v>43967</v>
      </c>
      <c r="B212" s="6" t="s">
        <v>21</v>
      </c>
      <c r="C212" s="6">
        <v>236551.5</v>
      </c>
      <c r="D212" s="6">
        <v>23689383</v>
      </c>
      <c r="E212" s="7">
        <f>VLOOKUP(A212,Лист2!$A$2:$E$505,3)</f>
        <v>10</v>
      </c>
      <c r="F212" s="7">
        <f>VLOOKUP(A212,Лист2!$A$2:$E$505,4)</f>
        <v>760</v>
      </c>
      <c r="G212" s="7">
        <f>VLOOKUP(A212,Лист2!$A$2:$E$505,5)</f>
        <v>672</v>
      </c>
      <c r="H212">
        <f>D212/E212</f>
        <v>2368938.2999999998</v>
      </c>
      <c r="I212">
        <f>WEEKNUM(A212)</f>
        <v>20</v>
      </c>
    </row>
    <row r="213" spans="1:9" ht="14.25" customHeight="1" x14ac:dyDescent="0.3">
      <c r="A213" s="8">
        <v>43963</v>
      </c>
      <c r="B213" s="9" t="s">
        <v>21</v>
      </c>
      <c r="C213" s="9">
        <v>192886.5</v>
      </c>
      <c r="D213" s="9">
        <v>19205179.5</v>
      </c>
      <c r="E213" s="7">
        <f>VLOOKUP(A213,Лист2!$A$2:$E$505,3)</f>
        <v>10</v>
      </c>
      <c r="F213" s="7">
        <f>VLOOKUP(A213,Лист2!$A$2:$E$505,4)</f>
        <v>526</v>
      </c>
      <c r="G213" s="7">
        <f>VLOOKUP(A213,Лист2!$A$2:$E$505,5)</f>
        <v>448</v>
      </c>
      <c r="H213">
        <f>D213/E213</f>
        <v>1920517.95</v>
      </c>
      <c r="I213">
        <f>WEEKNUM(A213)</f>
        <v>20</v>
      </c>
    </row>
    <row r="214" spans="1:9" ht="14.25" customHeight="1" x14ac:dyDescent="0.3">
      <c r="A214" s="5">
        <v>43964</v>
      </c>
      <c r="B214" s="6" t="s">
        <v>21</v>
      </c>
      <c r="C214" s="6">
        <v>193722</v>
      </c>
      <c r="D214" s="6">
        <v>19437273</v>
      </c>
      <c r="E214" s="7">
        <f>VLOOKUP(A214,Лист2!$A$2:$E$505,3)</f>
        <v>10</v>
      </c>
      <c r="F214" s="7">
        <f>VLOOKUP(A214,Лист2!$A$2:$E$505,4)</f>
        <v>612</v>
      </c>
      <c r="G214" s="7">
        <f>VLOOKUP(A214,Лист2!$A$2:$E$505,5)</f>
        <v>530</v>
      </c>
      <c r="H214">
        <f>D214/E214</f>
        <v>1943727.3</v>
      </c>
      <c r="I214">
        <f>WEEKNUM(A214)</f>
        <v>20</v>
      </c>
    </row>
    <row r="215" spans="1:9" ht="14.25" customHeight="1" x14ac:dyDescent="0.3">
      <c r="A215" s="18">
        <v>43961</v>
      </c>
      <c r="B215" s="20" t="s">
        <v>21</v>
      </c>
      <c r="C215" s="20">
        <v>243825</v>
      </c>
      <c r="D215" s="20">
        <v>24890404.5</v>
      </c>
      <c r="E215" s="7">
        <f>VLOOKUP(A215,Лист2!$A$2:$E$505,3)</f>
        <v>10</v>
      </c>
      <c r="F215" s="7">
        <f>VLOOKUP(A215,Лист2!$A$2:$E$505,4)</f>
        <v>642</v>
      </c>
      <c r="G215" s="7">
        <f>VLOOKUP(A215,Лист2!$A$2:$E$505,5)</f>
        <v>556</v>
      </c>
      <c r="H215">
        <f>D215/E215</f>
        <v>2489040.4500000002</v>
      </c>
      <c r="I215">
        <f>WEEKNUM(A215)</f>
        <v>20</v>
      </c>
    </row>
    <row r="216" spans="1:9" ht="14.25" customHeight="1" x14ac:dyDescent="0.3">
      <c r="A216" s="5">
        <v>43967</v>
      </c>
      <c r="B216" s="6" t="s">
        <v>22</v>
      </c>
      <c r="C216" s="6">
        <v>225480</v>
      </c>
      <c r="D216" s="6">
        <v>22355338.5</v>
      </c>
      <c r="E216" s="7">
        <f>VLOOKUP(A216,Лист2!$A$2:$E$505,3)</f>
        <v>10</v>
      </c>
      <c r="F216" s="7">
        <f>VLOOKUP(A216,Лист2!$A$2:$E$505,4)</f>
        <v>760</v>
      </c>
      <c r="G216" s="7">
        <f>VLOOKUP(A216,Лист2!$A$2:$E$505,5)</f>
        <v>672</v>
      </c>
      <c r="H216">
        <f>D216/E216</f>
        <v>2235533.85</v>
      </c>
      <c r="I216">
        <f>WEEKNUM(A216)</f>
        <v>20</v>
      </c>
    </row>
    <row r="217" spans="1:9" ht="14.25" customHeight="1" x14ac:dyDescent="0.3">
      <c r="A217" s="18">
        <v>43963</v>
      </c>
      <c r="B217" s="20" t="s">
        <v>22</v>
      </c>
      <c r="C217" s="20">
        <v>189679.5</v>
      </c>
      <c r="D217" s="20">
        <v>18718036.5</v>
      </c>
      <c r="E217" s="7">
        <f>VLOOKUP(A217,Лист2!$A$2:$E$505,3)</f>
        <v>10</v>
      </c>
      <c r="F217" s="7">
        <f>VLOOKUP(A217,Лист2!$A$2:$E$505,4)</f>
        <v>526</v>
      </c>
      <c r="G217" s="7">
        <f>VLOOKUP(A217,Лист2!$A$2:$E$505,5)</f>
        <v>448</v>
      </c>
      <c r="H217">
        <f>D217/E217</f>
        <v>1871803.65</v>
      </c>
      <c r="I217">
        <f>WEEKNUM(A217)</f>
        <v>20</v>
      </c>
    </row>
    <row r="218" spans="1:9" ht="14.25" customHeight="1" x14ac:dyDescent="0.3">
      <c r="A218" s="5">
        <v>43964</v>
      </c>
      <c r="B218" s="6" t="s">
        <v>22</v>
      </c>
      <c r="C218" s="6">
        <v>188662.5</v>
      </c>
      <c r="D218" s="6">
        <v>18784000.5</v>
      </c>
      <c r="E218" s="7">
        <f>VLOOKUP(A218,Лист2!$A$2:$E$505,3)</f>
        <v>10</v>
      </c>
      <c r="F218" s="7">
        <f>VLOOKUP(A218,Лист2!$A$2:$E$505,4)</f>
        <v>612</v>
      </c>
      <c r="G218" s="7">
        <f>VLOOKUP(A218,Лист2!$A$2:$E$505,5)</f>
        <v>530</v>
      </c>
      <c r="H218">
        <f>D218/E218</f>
        <v>1878400.05</v>
      </c>
      <c r="I218">
        <f>WEEKNUM(A218)</f>
        <v>20</v>
      </c>
    </row>
    <row r="219" spans="1:9" ht="14.25" customHeight="1" x14ac:dyDescent="0.3">
      <c r="A219" s="8">
        <v>43961</v>
      </c>
      <c r="B219" s="9" t="s">
        <v>22</v>
      </c>
      <c r="C219" s="9">
        <v>231559.5</v>
      </c>
      <c r="D219" s="9">
        <v>23443725</v>
      </c>
      <c r="E219" s="7">
        <f>VLOOKUP(A219,Лист2!$A$2:$E$505,3)</f>
        <v>10</v>
      </c>
      <c r="F219" s="7">
        <f>VLOOKUP(A219,Лист2!$A$2:$E$505,4)</f>
        <v>642</v>
      </c>
      <c r="G219" s="7">
        <f>VLOOKUP(A219,Лист2!$A$2:$E$505,5)</f>
        <v>556</v>
      </c>
      <c r="H219">
        <f>D219/E219</f>
        <v>2344372.5</v>
      </c>
      <c r="I219">
        <f>WEEKNUM(A219)</f>
        <v>20</v>
      </c>
    </row>
    <row r="220" spans="1:9" ht="14.25" customHeight="1" x14ac:dyDescent="0.3">
      <c r="A220" s="5">
        <v>43967</v>
      </c>
      <c r="B220" s="6" t="s">
        <v>23</v>
      </c>
      <c r="C220" s="6">
        <v>16368</v>
      </c>
      <c r="D220" s="6">
        <v>1316350.5</v>
      </c>
      <c r="E220" s="7">
        <f>VLOOKUP(A220,Лист2!$A$2:$E$505,3)</f>
        <v>10</v>
      </c>
      <c r="F220" s="7">
        <f>VLOOKUP(A220,Лист2!$A$2:$E$505,4)</f>
        <v>760</v>
      </c>
      <c r="G220" s="7">
        <f>VLOOKUP(A220,Лист2!$A$2:$E$505,5)</f>
        <v>672</v>
      </c>
      <c r="H220">
        <f>D220/E220</f>
        <v>131635.04999999999</v>
      </c>
      <c r="I220">
        <f>WEEKNUM(A220)</f>
        <v>20</v>
      </c>
    </row>
    <row r="221" spans="1:9" ht="14.25" customHeight="1" x14ac:dyDescent="0.3">
      <c r="A221" s="18">
        <v>43963</v>
      </c>
      <c r="B221" s="20" t="s">
        <v>23</v>
      </c>
      <c r="C221" s="20">
        <v>13443</v>
      </c>
      <c r="D221" s="20">
        <v>1092277.5</v>
      </c>
      <c r="E221" s="7">
        <f>VLOOKUP(A221,Лист2!$A$2:$E$505,3)</f>
        <v>10</v>
      </c>
      <c r="F221" s="7">
        <f>VLOOKUP(A221,Лист2!$A$2:$E$505,4)</f>
        <v>526</v>
      </c>
      <c r="G221" s="7">
        <f>VLOOKUP(A221,Лист2!$A$2:$E$505,5)</f>
        <v>448</v>
      </c>
      <c r="H221">
        <f>D221/E221</f>
        <v>109227.75</v>
      </c>
      <c r="I221">
        <f>WEEKNUM(A221)</f>
        <v>20</v>
      </c>
    </row>
    <row r="222" spans="1:9" ht="14.25" customHeight="1" x14ac:dyDescent="0.3">
      <c r="A222" s="5">
        <v>43964</v>
      </c>
      <c r="B222" s="6" t="s">
        <v>23</v>
      </c>
      <c r="C222" s="6">
        <v>14643</v>
      </c>
      <c r="D222" s="6">
        <v>1172691</v>
      </c>
      <c r="E222" s="7">
        <f>VLOOKUP(A222,Лист2!$A$2:$E$505,3)</f>
        <v>10</v>
      </c>
      <c r="F222" s="7">
        <f>VLOOKUP(A222,Лист2!$A$2:$E$505,4)</f>
        <v>612</v>
      </c>
      <c r="G222" s="7">
        <f>VLOOKUP(A222,Лист2!$A$2:$E$505,5)</f>
        <v>530</v>
      </c>
      <c r="H222">
        <f>D222/E222</f>
        <v>117269.1</v>
      </c>
      <c r="I222">
        <f>WEEKNUM(A222)</f>
        <v>20</v>
      </c>
    </row>
    <row r="223" spans="1:9" ht="14.25" customHeight="1" x14ac:dyDescent="0.3">
      <c r="A223" s="18">
        <v>43961</v>
      </c>
      <c r="B223" s="20" t="s">
        <v>23</v>
      </c>
      <c r="C223" s="20">
        <v>14566.5</v>
      </c>
      <c r="D223" s="20">
        <v>1216557</v>
      </c>
      <c r="E223" s="7">
        <f>VLOOKUP(A223,Лист2!$A$2:$E$505,3)</f>
        <v>10</v>
      </c>
      <c r="F223" s="7">
        <f>VLOOKUP(A223,Лист2!$A$2:$E$505,4)</f>
        <v>642</v>
      </c>
      <c r="G223" s="7">
        <f>VLOOKUP(A223,Лист2!$A$2:$E$505,5)</f>
        <v>556</v>
      </c>
      <c r="H223">
        <f>D223/E223</f>
        <v>121655.7</v>
      </c>
      <c r="I223">
        <f>WEEKNUM(A223)</f>
        <v>20</v>
      </c>
    </row>
    <row r="224" spans="1:9" ht="14.25" customHeight="1" x14ac:dyDescent="0.3">
      <c r="A224" s="17">
        <v>43962</v>
      </c>
      <c r="B224" s="19" t="s">
        <v>10</v>
      </c>
      <c r="C224" s="19">
        <v>27187.5</v>
      </c>
      <c r="D224" s="19">
        <v>2479396.5</v>
      </c>
      <c r="E224" s="7">
        <f>VLOOKUP(A224,Лист2!$A$2:$E$505,3)</f>
        <v>10</v>
      </c>
      <c r="F224" s="7">
        <f>VLOOKUP(A224,Лист2!$A$2:$E$505,4)</f>
        <v>494</v>
      </c>
      <c r="G224" s="7">
        <f>VLOOKUP(A224,Лист2!$A$2:$E$505,5)</f>
        <v>421</v>
      </c>
      <c r="H224">
        <f>D224/E224</f>
        <v>247939.65</v>
      </c>
      <c r="I224">
        <f>WEEKNUM(A224)</f>
        <v>20</v>
      </c>
    </row>
    <row r="225" spans="1:9" ht="14.25" customHeight="1" x14ac:dyDescent="0.3">
      <c r="A225" s="8">
        <v>43965</v>
      </c>
      <c r="B225" s="9" t="s">
        <v>10</v>
      </c>
      <c r="C225" s="9">
        <v>29658</v>
      </c>
      <c r="D225" s="9">
        <v>2703132</v>
      </c>
      <c r="E225" s="7">
        <f>VLOOKUP(A225,Лист2!$A$2:$E$505,3)</f>
        <v>10</v>
      </c>
      <c r="F225" s="7">
        <f>VLOOKUP(A225,Лист2!$A$2:$E$505,4)</f>
        <v>627</v>
      </c>
      <c r="G225" s="7">
        <f>VLOOKUP(A225,Лист2!$A$2:$E$505,5)</f>
        <v>545</v>
      </c>
      <c r="H225">
        <f>D225/E225</f>
        <v>270313.2</v>
      </c>
      <c r="I225">
        <f>WEEKNUM(A225)</f>
        <v>20</v>
      </c>
    </row>
    <row r="226" spans="1:9" ht="14.25" customHeight="1" x14ac:dyDescent="0.3">
      <c r="A226" s="5">
        <v>43966</v>
      </c>
      <c r="B226" s="6" t="s">
        <v>10</v>
      </c>
      <c r="C226" s="6">
        <v>34150.5</v>
      </c>
      <c r="D226" s="6">
        <v>3038293.5</v>
      </c>
      <c r="E226" s="7">
        <f>VLOOKUP(A226,Лист2!$A$2:$E$505,3)</f>
        <v>10</v>
      </c>
      <c r="F226" s="7">
        <f>VLOOKUP(A226,Лист2!$A$2:$E$505,4)</f>
        <v>743</v>
      </c>
      <c r="G226" s="7">
        <f>VLOOKUP(A226,Лист2!$A$2:$E$505,5)</f>
        <v>652</v>
      </c>
      <c r="H226">
        <f>D226/E226</f>
        <v>303829.34999999998</v>
      </c>
      <c r="I226">
        <f>WEEKNUM(A226)</f>
        <v>20</v>
      </c>
    </row>
    <row r="227" spans="1:9" ht="14.25" customHeight="1" x14ac:dyDescent="0.3">
      <c r="A227" s="18">
        <v>43962</v>
      </c>
      <c r="B227" s="20" t="s">
        <v>11</v>
      </c>
      <c r="C227" s="20">
        <v>72220.5</v>
      </c>
      <c r="D227" s="20">
        <v>6398719.5</v>
      </c>
      <c r="E227" s="7">
        <f>VLOOKUP(A227,Лист2!$A$2:$E$505,3)</f>
        <v>10</v>
      </c>
      <c r="F227" s="7">
        <f>VLOOKUP(A227,Лист2!$A$2:$E$505,4)</f>
        <v>494</v>
      </c>
      <c r="G227" s="7">
        <f>VLOOKUP(A227,Лист2!$A$2:$E$505,5)</f>
        <v>421</v>
      </c>
      <c r="H227">
        <f>D227/E227</f>
        <v>639871.94999999995</v>
      </c>
      <c r="I227">
        <f>WEEKNUM(A227)</f>
        <v>20</v>
      </c>
    </row>
    <row r="228" spans="1:9" ht="14.25" customHeight="1" x14ac:dyDescent="0.3">
      <c r="A228" s="5">
        <v>43965</v>
      </c>
      <c r="B228" s="6" t="s">
        <v>11</v>
      </c>
      <c r="C228" s="6">
        <v>70498.5</v>
      </c>
      <c r="D228" s="6">
        <v>6053649</v>
      </c>
      <c r="E228" s="7">
        <f>VLOOKUP(A228,Лист2!$A$2:$E$505,3)</f>
        <v>10</v>
      </c>
      <c r="F228" s="7">
        <f>VLOOKUP(A228,Лист2!$A$2:$E$505,4)</f>
        <v>627</v>
      </c>
      <c r="G228" s="7">
        <f>VLOOKUP(A228,Лист2!$A$2:$E$505,5)</f>
        <v>545</v>
      </c>
      <c r="H228">
        <f>D228/E228</f>
        <v>605364.9</v>
      </c>
      <c r="I228">
        <f>WEEKNUM(A228)</f>
        <v>20</v>
      </c>
    </row>
    <row r="229" spans="1:9" ht="14.25" customHeight="1" x14ac:dyDescent="0.3">
      <c r="A229" s="8">
        <v>43966</v>
      </c>
      <c r="B229" s="9" t="s">
        <v>11</v>
      </c>
      <c r="C229" s="9">
        <v>78961.5</v>
      </c>
      <c r="D229" s="9">
        <v>6876454.5</v>
      </c>
      <c r="E229" s="7">
        <f>VLOOKUP(A229,Лист2!$A$2:$E$505,3)</f>
        <v>10</v>
      </c>
      <c r="F229" s="7">
        <f>VLOOKUP(A229,Лист2!$A$2:$E$505,4)</f>
        <v>743</v>
      </c>
      <c r="G229" s="7">
        <f>VLOOKUP(A229,Лист2!$A$2:$E$505,5)</f>
        <v>652</v>
      </c>
      <c r="H229">
        <f>D229/E229</f>
        <v>687645.45</v>
      </c>
      <c r="I229">
        <f>WEEKNUM(A229)</f>
        <v>20</v>
      </c>
    </row>
    <row r="230" spans="1:9" ht="14.25" customHeight="1" x14ac:dyDescent="0.3">
      <c r="A230" s="17">
        <v>43962</v>
      </c>
      <c r="B230" s="19" t="s">
        <v>12</v>
      </c>
      <c r="C230" s="19">
        <v>9007.5</v>
      </c>
      <c r="D230" s="19">
        <v>734335.5</v>
      </c>
      <c r="E230" s="7">
        <f>VLOOKUP(A230,Лист2!$A$2:$E$505,3)</f>
        <v>10</v>
      </c>
      <c r="F230" s="7">
        <f>VLOOKUP(A230,Лист2!$A$2:$E$505,4)</f>
        <v>494</v>
      </c>
      <c r="G230" s="7">
        <f>VLOOKUP(A230,Лист2!$A$2:$E$505,5)</f>
        <v>421</v>
      </c>
      <c r="H230">
        <f>D230/E230</f>
        <v>73433.55</v>
      </c>
      <c r="I230">
        <f>WEEKNUM(A230)</f>
        <v>20</v>
      </c>
    </row>
    <row r="231" spans="1:9" ht="14.25" customHeight="1" x14ac:dyDescent="0.3">
      <c r="A231" s="18">
        <v>43965</v>
      </c>
      <c r="B231" s="20" t="s">
        <v>12</v>
      </c>
      <c r="C231" s="20">
        <v>12037.5</v>
      </c>
      <c r="D231" s="20">
        <v>981564</v>
      </c>
      <c r="E231" s="7">
        <f>VLOOKUP(A231,Лист2!$A$2:$E$505,3)</f>
        <v>10</v>
      </c>
      <c r="F231" s="7">
        <f>VLOOKUP(A231,Лист2!$A$2:$E$505,4)</f>
        <v>627</v>
      </c>
      <c r="G231" s="7">
        <f>VLOOKUP(A231,Лист2!$A$2:$E$505,5)</f>
        <v>545</v>
      </c>
      <c r="H231">
        <f>D231/E231</f>
        <v>98156.4</v>
      </c>
      <c r="I231">
        <f>WEEKNUM(A231)</f>
        <v>20</v>
      </c>
    </row>
    <row r="232" spans="1:9" ht="14.25" customHeight="1" x14ac:dyDescent="0.3">
      <c r="A232" s="17">
        <v>43966</v>
      </c>
      <c r="B232" s="19" t="s">
        <v>12</v>
      </c>
      <c r="C232" s="19">
        <v>14421</v>
      </c>
      <c r="D232" s="19">
        <v>1150579.5</v>
      </c>
      <c r="E232" s="7">
        <f>VLOOKUP(A232,Лист2!$A$2:$E$505,3)</f>
        <v>10</v>
      </c>
      <c r="F232" s="7">
        <f>VLOOKUP(A232,Лист2!$A$2:$E$505,4)</f>
        <v>743</v>
      </c>
      <c r="G232" s="7">
        <f>VLOOKUP(A232,Лист2!$A$2:$E$505,5)</f>
        <v>652</v>
      </c>
      <c r="H232">
        <f>D232/E232</f>
        <v>115057.95</v>
      </c>
      <c r="I232">
        <f>WEEKNUM(A232)</f>
        <v>20</v>
      </c>
    </row>
    <row r="233" spans="1:9" ht="14.25" customHeight="1" x14ac:dyDescent="0.3">
      <c r="A233" s="18">
        <v>43962</v>
      </c>
      <c r="B233" s="20" t="s">
        <v>13</v>
      </c>
      <c r="C233" s="20">
        <v>42397.5</v>
      </c>
      <c r="D233" s="20">
        <v>3911979</v>
      </c>
      <c r="E233" s="7">
        <f>VLOOKUP(A233,Лист2!$A$2:$E$505,3)</f>
        <v>10</v>
      </c>
      <c r="F233" s="7">
        <f>VLOOKUP(A233,Лист2!$A$2:$E$505,4)</f>
        <v>494</v>
      </c>
      <c r="G233" s="7">
        <f>VLOOKUP(A233,Лист2!$A$2:$E$505,5)</f>
        <v>421</v>
      </c>
      <c r="H233">
        <f>D233/E233</f>
        <v>391197.9</v>
      </c>
      <c r="I233">
        <f>WEEKNUM(A233)</f>
        <v>20</v>
      </c>
    </row>
    <row r="234" spans="1:9" ht="14.25" customHeight="1" x14ac:dyDescent="0.3">
      <c r="A234" s="5">
        <v>43965</v>
      </c>
      <c r="B234" s="6" t="s">
        <v>13</v>
      </c>
      <c r="C234" s="6">
        <v>27411</v>
      </c>
      <c r="D234" s="6">
        <v>2441520</v>
      </c>
      <c r="E234" s="7">
        <f>VLOOKUP(A234,Лист2!$A$2:$E$505,3)</f>
        <v>10</v>
      </c>
      <c r="F234" s="7">
        <f>VLOOKUP(A234,Лист2!$A$2:$E$505,4)</f>
        <v>627</v>
      </c>
      <c r="G234" s="7">
        <f>VLOOKUP(A234,Лист2!$A$2:$E$505,5)</f>
        <v>545</v>
      </c>
      <c r="H234">
        <f>D234/E234</f>
        <v>244152</v>
      </c>
      <c r="I234">
        <f>WEEKNUM(A234)</f>
        <v>20</v>
      </c>
    </row>
    <row r="235" spans="1:9" ht="14.25" customHeight="1" x14ac:dyDescent="0.3">
      <c r="A235" s="8">
        <v>43966</v>
      </c>
      <c r="B235" s="9" t="s">
        <v>13</v>
      </c>
      <c r="C235" s="9">
        <v>32854.5</v>
      </c>
      <c r="D235" s="9">
        <v>2949078</v>
      </c>
      <c r="E235" s="7">
        <f>VLOOKUP(A235,Лист2!$A$2:$E$505,3)</f>
        <v>10</v>
      </c>
      <c r="F235" s="7">
        <f>VLOOKUP(A235,Лист2!$A$2:$E$505,4)</f>
        <v>743</v>
      </c>
      <c r="G235" s="7">
        <f>VLOOKUP(A235,Лист2!$A$2:$E$505,5)</f>
        <v>652</v>
      </c>
      <c r="H235">
        <f>D235/E235</f>
        <v>294907.8</v>
      </c>
      <c r="I235">
        <f>WEEKNUM(A235)</f>
        <v>20</v>
      </c>
    </row>
    <row r="236" spans="1:9" ht="14.25" customHeight="1" x14ac:dyDescent="0.3">
      <c r="A236" s="5">
        <v>43962</v>
      </c>
      <c r="B236" s="6" t="s">
        <v>14</v>
      </c>
      <c r="C236" s="6">
        <v>237099</v>
      </c>
      <c r="D236" s="6">
        <v>24628233.223949999</v>
      </c>
      <c r="E236" s="7">
        <f>VLOOKUP(A236,Лист2!$A$2:$E$505,3)</f>
        <v>10</v>
      </c>
      <c r="F236" s="7">
        <f>VLOOKUP(A236,Лист2!$A$2:$E$505,4)</f>
        <v>494</v>
      </c>
      <c r="G236" s="7">
        <f>VLOOKUP(A236,Лист2!$A$2:$E$505,5)</f>
        <v>421</v>
      </c>
      <c r="H236">
        <f>D236/E236</f>
        <v>2462823.3223949997</v>
      </c>
      <c r="I236">
        <f>WEEKNUM(A236)</f>
        <v>20</v>
      </c>
    </row>
    <row r="237" spans="1:9" ht="14.25" customHeight="1" x14ac:dyDescent="0.3">
      <c r="A237" s="18">
        <v>43965</v>
      </c>
      <c r="B237" s="20" t="s">
        <v>14</v>
      </c>
      <c r="C237" s="20">
        <v>274059</v>
      </c>
      <c r="D237" s="20">
        <v>28181292</v>
      </c>
      <c r="E237" s="7">
        <f>VLOOKUP(A237,Лист2!$A$2:$E$505,3)</f>
        <v>10</v>
      </c>
      <c r="F237" s="7">
        <f>VLOOKUP(A237,Лист2!$A$2:$E$505,4)</f>
        <v>627</v>
      </c>
      <c r="G237" s="7">
        <f>VLOOKUP(A237,Лист2!$A$2:$E$505,5)</f>
        <v>545</v>
      </c>
      <c r="H237">
        <f>D237/E237</f>
        <v>2818129.2</v>
      </c>
      <c r="I237">
        <f>WEEKNUM(A237)</f>
        <v>20</v>
      </c>
    </row>
    <row r="238" spans="1:9" ht="14.25" customHeight="1" x14ac:dyDescent="0.3">
      <c r="A238" s="17">
        <v>43966</v>
      </c>
      <c r="B238" s="19" t="s">
        <v>14</v>
      </c>
      <c r="C238" s="19">
        <v>318816</v>
      </c>
      <c r="D238" s="19">
        <v>32354331</v>
      </c>
      <c r="E238" s="7">
        <f>VLOOKUP(A238,Лист2!$A$2:$E$505,3)</f>
        <v>10</v>
      </c>
      <c r="F238" s="7">
        <f>VLOOKUP(A238,Лист2!$A$2:$E$505,4)</f>
        <v>743</v>
      </c>
      <c r="G238" s="7">
        <f>VLOOKUP(A238,Лист2!$A$2:$E$505,5)</f>
        <v>652</v>
      </c>
      <c r="H238">
        <f>D238/E238</f>
        <v>3235433.1</v>
      </c>
      <c r="I238">
        <f>WEEKNUM(A238)</f>
        <v>20</v>
      </c>
    </row>
    <row r="239" spans="1:9" ht="14.25" customHeight="1" x14ac:dyDescent="0.3">
      <c r="A239" s="8">
        <v>43962</v>
      </c>
      <c r="B239" s="9" t="s">
        <v>15</v>
      </c>
      <c r="C239" s="9">
        <v>318565.5</v>
      </c>
      <c r="D239" s="9">
        <v>33781581</v>
      </c>
      <c r="E239" s="7">
        <f>VLOOKUP(A239,Лист2!$A$2:$E$505,3)</f>
        <v>10</v>
      </c>
      <c r="F239" s="7">
        <f>VLOOKUP(A239,Лист2!$A$2:$E$505,4)</f>
        <v>494</v>
      </c>
      <c r="G239" s="7">
        <f>VLOOKUP(A239,Лист2!$A$2:$E$505,5)</f>
        <v>421</v>
      </c>
      <c r="H239">
        <f>D239/E239</f>
        <v>3378158.1</v>
      </c>
      <c r="I239">
        <f>WEEKNUM(A239)</f>
        <v>20</v>
      </c>
    </row>
    <row r="240" spans="1:9" ht="14.25" customHeight="1" x14ac:dyDescent="0.3">
      <c r="A240" s="5">
        <v>43965</v>
      </c>
      <c r="B240" s="6" t="s">
        <v>15</v>
      </c>
      <c r="C240" s="6">
        <v>358387.5</v>
      </c>
      <c r="D240" s="6">
        <v>37963150.5</v>
      </c>
      <c r="E240" s="7">
        <f>VLOOKUP(A240,Лист2!$A$2:$E$505,3)</f>
        <v>10</v>
      </c>
      <c r="F240" s="7">
        <f>VLOOKUP(A240,Лист2!$A$2:$E$505,4)</f>
        <v>627</v>
      </c>
      <c r="G240" s="7">
        <f>VLOOKUP(A240,Лист2!$A$2:$E$505,5)</f>
        <v>545</v>
      </c>
      <c r="H240">
        <f>D240/E240</f>
        <v>3796315.05</v>
      </c>
      <c r="I240">
        <f>WEEKNUM(A240)</f>
        <v>20</v>
      </c>
    </row>
    <row r="241" spans="1:9" ht="14.25" customHeight="1" x14ac:dyDescent="0.3">
      <c r="A241" s="8">
        <v>43966</v>
      </c>
      <c r="B241" s="9" t="s">
        <v>15</v>
      </c>
      <c r="C241" s="9">
        <v>403261.5</v>
      </c>
      <c r="D241" s="9">
        <v>42271377</v>
      </c>
      <c r="E241" s="7">
        <f>VLOOKUP(A241,Лист2!$A$2:$E$505,3)</f>
        <v>10</v>
      </c>
      <c r="F241" s="7">
        <f>VLOOKUP(A241,Лист2!$A$2:$E$505,4)</f>
        <v>743</v>
      </c>
      <c r="G241" s="7">
        <f>VLOOKUP(A241,Лист2!$A$2:$E$505,5)</f>
        <v>652</v>
      </c>
      <c r="H241">
        <f>D241/E241</f>
        <v>4227137.7</v>
      </c>
      <c r="I241">
        <f>WEEKNUM(A241)</f>
        <v>20</v>
      </c>
    </row>
    <row r="242" spans="1:9" ht="14.25" customHeight="1" x14ac:dyDescent="0.3">
      <c r="A242" s="17">
        <v>43962</v>
      </c>
      <c r="B242" s="19" t="s">
        <v>16</v>
      </c>
      <c r="C242" s="19">
        <v>59574</v>
      </c>
      <c r="D242" s="19">
        <v>5178169.5</v>
      </c>
      <c r="E242" s="7">
        <f>VLOOKUP(A242,Лист2!$A$2:$E$505,3)</f>
        <v>10</v>
      </c>
      <c r="F242" s="7">
        <f>VLOOKUP(A242,Лист2!$A$2:$E$505,4)</f>
        <v>494</v>
      </c>
      <c r="G242" s="7">
        <f>VLOOKUP(A242,Лист2!$A$2:$E$505,5)</f>
        <v>421</v>
      </c>
      <c r="H242">
        <f>D242/E242</f>
        <v>517816.95</v>
      </c>
      <c r="I242">
        <f>WEEKNUM(A242)</f>
        <v>20</v>
      </c>
    </row>
    <row r="243" spans="1:9" ht="14.25" customHeight="1" x14ac:dyDescent="0.3">
      <c r="A243" s="18">
        <v>43965</v>
      </c>
      <c r="B243" s="20" t="s">
        <v>16</v>
      </c>
      <c r="C243" s="20">
        <v>63645</v>
      </c>
      <c r="D243" s="20">
        <v>5366602.5</v>
      </c>
      <c r="E243" s="7">
        <f>VLOOKUP(A243,Лист2!$A$2:$E$505,3)</f>
        <v>10</v>
      </c>
      <c r="F243" s="7">
        <f>VLOOKUP(A243,Лист2!$A$2:$E$505,4)</f>
        <v>627</v>
      </c>
      <c r="G243" s="7">
        <f>VLOOKUP(A243,Лист2!$A$2:$E$505,5)</f>
        <v>545</v>
      </c>
      <c r="H243">
        <f>D243/E243</f>
        <v>536660.25</v>
      </c>
      <c r="I243">
        <f>WEEKNUM(A243)</f>
        <v>20</v>
      </c>
    </row>
    <row r="244" spans="1:9" ht="14.25" customHeight="1" x14ac:dyDescent="0.3">
      <c r="A244" s="17">
        <v>43966</v>
      </c>
      <c r="B244" s="19" t="s">
        <v>16</v>
      </c>
      <c r="C244" s="19">
        <v>75642</v>
      </c>
      <c r="D244" s="19">
        <v>6293952</v>
      </c>
      <c r="E244" s="7">
        <f>VLOOKUP(A244,Лист2!$A$2:$E$505,3)</f>
        <v>10</v>
      </c>
      <c r="F244" s="7">
        <f>VLOOKUP(A244,Лист2!$A$2:$E$505,4)</f>
        <v>743</v>
      </c>
      <c r="G244" s="7">
        <f>VLOOKUP(A244,Лист2!$A$2:$E$505,5)</f>
        <v>652</v>
      </c>
      <c r="H244">
        <f>D244/E244</f>
        <v>629395.19999999995</v>
      </c>
      <c r="I244">
        <f>WEEKNUM(A244)</f>
        <v>20</v>
      </c>
    </row>
    <row r="245" spans="1:9" ht="14.25" customHeight="1" x14ac:dyDescent="0.3">
      <c r="A245" s="8">
        <v>43962</v>
      </c>
      <c r="B245" s="9" t="s">
        <v>17</v>
      </c>
      <c r="C245" s="9">
        <v>32733</v>
      </c>
      <c r="D245" s="9">
        <v>3079630.5</v>
      </c>
      <c r="E245" s="7">
        <f>VLOOKUP(A245,Лист2!$A$2:$E$505,3)</f>
        <v>10</v>
      </c>
      <c r="F245" s="7">
        <f>VLOOKUP(A245,Лист2!$A$2:$E$505,4)</f>
        <v>494</v>
      </c>
      <c r="G245" s="7">
        <f>VLOOKUP(A245,Лист2!$A$2:$E$505,5)</f>
        <v>421</v>
      </c>
      <c r="H245">
        <f>D245/E245</f>
        <v>307963.05</v>
      </c>
      <c r="I245">
        <f>WEEKNUM(A245)</f>
        <v>20</v>
      </c>
    </row>
    <row r="246" spans="1:9" ht="14.25" customHeight="1" x14ac:dyDescent="0.3">
      <c r="A246" s="5">
        <v>43965</v>
      </c>
      <c r="B246" s="6" t="s">
        <v>17</v>
      </c>
      <c r="C246" s="6">
        <v>33886.5</v>
      </c>
      <c r="D246" s="6">
        <v>3166479</v>
      </c>
      <c r="E246" s="7">
        <f>VLOOKUP(A246,Лист2!$A$2:$E$505,3)</f>
        <v>10</v>
      </c>
      <c r="F246" s="7">
        <f>VLOOKUP(A246,Лист2!$A$2:$E$505,4)</f>
        <v>627</v>
      </c>
      <c r="G246" s="7">
        <f>VLOOKUP(A246,Лист2!$A$2:$E$505,5)</f>
        <v>545</v>
      </c>
      <c r="H246">
        <f>D246/E246</f>
        <v>316647.90000000002</v>
      </c>
      <c r="I246">
        <f>WEEKNUM(A246)</f>
        <v>20</v>
      </c>
    </row>
    <row r="247" spans="1:9" ht="14.25" customHeight="1" x14ac:dyDescent="0.3">
      <c r="A247" s="8">
        <v>43966</v>
      </c>
      <c r="B247" s="9" t="s">
        <v>17</v>
      </c>
      <c r="C247" s="9">
        <v>41697</v>
      </c>
      <c r="D247" s="9">
        <v>3772258.5</v>
      </c>
      <c r="E247" s="7">
        <f>VLOOKUP(A247,Лист2!$A$2:$E$505,3)</f>
        <v>10</v>
      </c>
      <c r="F247" s="7">
        <f>VLOOKUP(A247,Лист2!$A$2:$E$505,4)</f>
        <v>743</v>
      </c>
      <c r="G247" s="7">
        <f>VLOOKUP(A247,Лист2!$A$2:$E$505,5)</f>
        <v>652</v>
      </c>
      <c r="H247">
        <f>D247/E247</f>
        <v>377225.85</v>
      </c>
      <c r="I247">
        <f>WEEKNUM(A247)</f>
        <v>20</v>
      </c>
    </row>
    <row r="248" spans="1:9" ht="14.25" customHeight="1" x14ac:dyDescent="0.3">
      <c r="A248" s="5">
        <v>43962</v>
      </c>
      <c r="B248" s="6" t="s">
        <v>18</v>
      </c>
      <c r="C248" s="6">
        <v>12238.5</v>
      </c>
      <c r="D248" s="6">
        <v>1096002</v>
      </c>
      <c r="E248" s="7">
        <f>VLOOKUP(A248,Лист2!$A$2:$E$505,3)</f>
        <v>10</v>
      </c>
      <c r="F248" s="7">
        <f>VLOOKUP(A248,Лист2!$A$2:$E$505,4)</f>
        <v>494</v>
      </c>
      <c r="G248" s="7">
        <f>VLOOKUP(A248,Лист2!$A$2:$E$505,5)</f>
        <v>421</v>
      </c>
      <c r="H248">
        <f>D248/E248</f>
        <v>109600.2</v>
      </c>
      <c r="I248">
        <f>WEEKNUM(A248)</f>
        <v>20</v>
      </c>
    </row>
    <row r="249" spans="1:9" ht="14.25" customHeight="1" x14ac:dyDescent="0.3">
      <c r="A249" s="18">
        <v>43965</v>
      </c>
      <c r="B249" s="20" t="s">
        <v>18</v>
      </c>
      <c r="C249" s="20">
        <v>14385</v>
      </c>
      <c r="D249" s="20">
        <v>1223491.5</v>
      </c>
      <c r="E249" s="7">
        <f>VLOOKUP(A249,Лист2!$A$2:$E$505,3)</f>
        <v>10</v>
      </c>
      <c r="F249" s="7">
        <f>VLOOKUP(A249,Лист2!$A$2:$E$505,4)</f>
        <v>627</v>
      </c>
      <c r="G249" s="7">
        <f>VLOOKUP(A249,Лист2!$A$2:$E$505,5)</f>
        <v>545</v>
      </c>
      <c r="H249">
        <f>D249/E249</f>
        <v>122349.15</v>
      </c>
      <c r="I249">
        <f>WEEKNUM(A249)</f>
        <v>20</v>
      </c>
    </row>
    <row r="250" spans="1:9" ht="14.25" customHeight="1" x14ac:dyDescent="0.3">
      <c r="A250" s="17">
        <v>43966</v>
      </c>
      <c r="B250" s="19" t="s">
        <v>18</v>
      </c>
      <c r="C250" s="19">
        <v>16498.5</v>
      </c>
      <c r="D250" s="19">
        <v>1370482.5</v>
      </c>
      <c r="E250" s="7">
        <f>VLOOKUP(A250,Лист2!$A$2:$E$505,3)</f>
        <v>10</v>
      </c>
      <c r="F250" s="7">
        <f>VLOOKUP(A250,Лист2!$A$2:$E$505,4)</f>
        <v>743</v>
      </c>
      <c r="G250" s="7">
        <f>VLOOKUP(A250,Лист2!$A$2:$E$505,5)</f>
        <v>652</v>
      </c>
      <c r="H250">
        <f>D250/E250</f>
        <v>137048.25</v>
      </c>
      <c r="I250">
        <f>WEEKNUM(A250)</f>
        <v>20</v>
      </c>
    </row>
    <row r="251" spans="1:9" ht="14.25" customHeight="1" x14ac:dyDescent="0.3">
      <c r="A251" s="8">
        <v>43962</v>
      </c>
      <c r="B251" s="9" t="s">
        <v>19</v>
      </c>
      <c r="C251" s="9">
        <v>12654</v>
      </c>
      <c r="D251" s="9">
        <v>1081158</v>
      </c>
      <c r="E251" s="7">
        <f>VLOOKUP(A251,Лист2!$A$2:$E$505,3)</f>
        <v>10</v>
      </c>
      <c r="F251" s="7">
        <f>VLOOKUP(A251,Лист2!$A$2:$E$505,4)</f>
        <v>494</v>
      </c>
      <c r="G251" s="7">
        <f>VLOOKUP(A251,Лист2!$A$2:$E$505,5)</f>
        <v>421</v>
      </c>
      <c r="H251">
        <f>D251/E251</f>
        <v>108115.8</v>
      </c>
      <c r="I251">
        <f>WEEKNUM(A251)</f>
        <v>20</v>
      </c>
    </row>
    <row r="252" spans="1:9" ht="14.25" customHeight="1" x14ac:dyDescent="0.3">
      <c r="A252" s="5">
        <v>43965</v>
      </c>
      <c r="B252" s="6" t="s">
        <v>19</v>
      </c>
      <c r="C252" s="6">
        <v>11161.5</v>
      </c>
      <c r="D252" s="6">
        <v>963502.5</v>
      </c>
      <c r="E252" s="7">
        <f>VLOOKUP(A252,Лист2!$A$2:$E$505,3)</f>
        <v>10</v>
      </c>
      <c r="F252" s="7">
        <f>VLOOKUP(A252,Лист2!$A$2:$E$505,4)</f>
        <v>627</v>
      </c>
      <c r="G252" s="7">
        <f>VLOOKUP(A252,Лист2!$A$2:$E$505,5)</f>
        <v>545</v>
      </c>
      <c r="H252">
        <f>D252/E252</f>
        <v>96350.25</v>
      </c>
      <c r="I252">
        <f>WEEKNUM(A252)</f>
        <v>20</v>
      </c>
    </row>
    <row r="253" spans="1:9" ht="14.25" customHeight="1" x14ac:dyDescent="0.3">
      <c r="A253" s="8">
        <v>43966</v>
      </c>
      <c r="B253" s="9" t="s">
        <v>19</v>
      </c>
      <c r="C253" s="9">
        <v>12229.5</v>
      </c>
      <c r="D253" s="9">
        <v>1122730.5</v>
      </c>
      <c r="E253" s="7">
        <f>VLOOKUP(A253,Лист2!$A$2:$E$505,3)</f>
        <v>10</v>
      </c>
      <c r="F253" s="7">
        <f>VLOOKUP(A253,Лист2!$A$2:$E$505,4)</f>
        <v>743</v>
      </c>
      <c r="G253" s="7">
        <f>VLOOKUP(A253,Лист2!$A$2:$E$505,5)</f>
        <v>652</v>
      </c>
      <c r="H253">
        <f>D253/E253</f>
        <v>112273.05</v>
      </c>
      <c r="I253">
        <f>WEEKNUM(A253)</f>
        <v>20</v>
      </c>
    </row>
    <row r="254" spans="1:9" ht="14.25" customHeight="1" x14ac:dyDescent="0.3">
      <c r="A254" s="17">
        <v>43962</v>
      </c>
      <c r="B254" s="19" t="s">
        <v>20</v>
      </c>
      <c r="C254" s="19">
        <v>23629.5</v>
      </c>
      <c r="D254" s="19">
        <v>2164365</v>
      </c>
      <c r="E254" s="7">
        <f>VLOOKUP(A254,Лист2!$A$2:$E$505,3)</f>
        <v>10</v>
      </c>
      <c r="F254" s="7">
        <f>VLOOKUP(A254,Лист2!$A$2:$E$505,4)</f>
        <v>494</v>
      </c>
      <c r="G254" s="7">
        <f>VLOOKUP(A254,Лист2!$A$2:$E$505,5)</f>
        <v>421</v>
      </c>
      <c r="H254">
        <f>D254/E254</f>
        <v>216436.5</v>
      </c>
      <c r="I254">
        <f>WEEKNUM(A254)</f>
        <v>20</v>
      </c>
    </row>
    <row r="255" spans="1:9" ht="14.25" customHeight="1" x14ac:dyDescent="0.3">
      <c r="A255" s="18">
        <v>43965</v>
      </c>
      <c r="B255" s="20" t="s">
        <v>20</v>
      </c>
      <c r="C255" s="20">
        <v>25656</v>
      </c>
      <c r="D255" s="20">
        <v>2225341.5</v>
      </c>
      <c r="E255" s="7">
        <f>VLOOKUP(A255,Лист2!$A$2:$E$505,3)</f>
        <v>10</v>
      </c>
      <c r="F255" s="7">
        <f>VLOOKUP(A255,Лист2!$A$2:$E$505,4)</f>
        <v>627</v>
      </c>
      <c r="G255" s="7">
        <f>VLOOKUP(A255,Лист2!$A$2:$E$505,5)</f>
        <v>545</v>
      </c>
      <c r="H255">
        <f>D255/E255</f>
        <v>222534.15</v>
      </c>
      <c r="I255">
        <f>WEEKNUM(A255)</f>
        <v>20</v>
      </c>
    </row>
    <row r="256" spans="1:9" ht="14.25" customHeight="1" x14ac:dyDescent="0.3">
      <c r="A256" s="17">
        <v>43966</v>
      </c>
      <c r="B256" s="19" t="s">
        <v>20</v>
      </c>
      <c r="C256" s="19">
        <v>29283</v>
      </c>
      <c r="D256" s="19">
        <v>2477487</v>
      </c>
      <c r="E256" s="7">
        <f>VLOOKUP(A256,Лист2!$A$2:$E$505,3)</f>
        <v>10</v>
      </c>
      <c r="F256" s="7">
        <f>VLOOKUP(A256,Лист2!$A$2:$E$505,4)</f>
        <v>743</v>
      </c>
      <c r="G256" s="7">
        <f>VLOOKUP(A256,Лист2!$A$2:$E$505,5)</f>
        <v>652</v>
      </c>
      <c r="H256">
        <f>D256/E256</f>
        <v>247748.7</v>
      </c>
      <c r="I256">
        <f>WEEKNUM(A256)</f>
        <v>20</v>
      </c>
    </row>
    <row r="257" spans="1:9" ht="14.25" customHeight="1" x14ac:dyDescent="0.3">
      <c r="A257" s="18">
        <v>43962</v>
      </c>
      <c r="B257" s="20" t="s">
        <v>21</v>
      </c>
      <c r="C257" s="20">
        <v>175293</v>
      </c>
      <c r="D257" s="20">
        <v>17919144</v>
      </c>
      <c r="E257" s="7">
        <f>VLOOKUP(A257,Лист2!$A$2:$E$505,3)</f>
        <v>10</v>
      </c>
      <c r="F257" s="7">
        <f>VLOOKUP(A257,Лист2!$A$2:$E$505,4)</f>
        <v>494</v>
      </c>
      <c r="G257" s="7">
        <f>VLOOKUP(A257,Лист2!$A$2:$E$505,5)</f>
        <v>421</v>
      </c>
      <c r="H257">
        <f>D257/E257</f>
        <v>1791914.4</v>
      </c>
      <c r="I257">
        <f>WEEKNUM(A257)</f>
        <v>20</v>
      </c>
    </row>
    <row r="258" spans="1:9" ht="14.25" customHeight="1" x14ac:dyDescent="0.3">
      <c r="A258" s="5">
        <v>43965</v>
      </c>
      <c r="B258" s="6" t="s">
        <v>21</v>
      </c>
      <c r="C258" s="6">
        <v>197946</v>
      </c>
      <c r="D258" s="6">
        <v>19942435.5</v>
      </c>
      <c r="E258" s="7">
        <f>VLOOKUP(A258,Лист2!$A$2:$E$505,3)</f>
        <v>10</v>
      </c>
      <c r="F258" s="7">
        <f>VLOOKUP(A258,Лист2!$A$2:$E$505,4)</f>
        <v>627</v>
      </c>
      <c r="G258" s="7">
        <f>VLOOKUP(A258,Лист2!$A$2:$E$505,5)</f>
        <v>545</v>
      </c>
      <c r="H258">
        <f>D258/E258</f>
        <v>1994243.55</v>
      </c>
      <c r="I258">
        <f>WEEKNUM(A258)</f>
        <v>20</v>
      </c>
    </row>
    <row r="259" spans="1:9" ht="14.25" customHeight="1" x14ac:dyDescent="0.3">
      <c r="A259" s="8">
        <v>43966</v>
      </c>
      <c r="B259" s="9" t="s">
        <v>21</v>
      </c>
      <c r="C259" s="9">
        <v>230896.5</v>
      </c>
      <c r="D259" s="9">
        <v>23085222</v>
      </c>
      <c r="E259" s="7">
        <f>VLOOKUP(A259,Лист2!$A$2:$E$505,3)</f>
        <v>10</v>
      </c>
      <c r="F259" s="7">
        <f>VLOOKUP(A259,Лист2!$A$2:$E$505,4)</f>
        <v>743</v>
      </c>
      <c r="G259" s="7">
        <f>VLOOKUP(A259,Лист2!$A$2:$E$505,5)</f>
        <v>652</v>
      </c>
      <c r="H259">
        <f>D259/E259</f>
        <v>2308522.2000000002</v>
      </c>
      <c r="I259">
        <f>WEEKNUM(A259)</f>
        <v>20</v>
      </c>
    </row>
    <row r="260" spans="1:9" ht="14.25" customHeight="1" x14ac:dyDescent="0.3">
      <c r="A260" s="17">
        <v>43962</v>
      </c>
      <c r="B260" s="19" t="s">
        <v>22</v>
      </c>
      <c r="C260" s="19">
        <v>166948.5</v>
      </c>
      <c r="D260" s="19">
        <v>16971231</v>
      </c>
      <c r="E260" s="7">
        <f>VLOOKUP(A260,Лист2!$A$2:$E$505,3)</f>
        <v>10</v>
      </c>
      <c r="F260" s="7">
        <f>VLOOKUP(A260,Лист2!$A$2:$E$505,4)</f>
        <v>494</v>
      </c>
      <c r="G260" s="7">
        <f>VLOOKUP(A260,Лист2!$A$2:$E$505,5)</f>
        <v>421</v>
      </c>
      <c r="H260">
        <f>D260/E260</f>
        <v>1697123.1</v>
      </c>
      <c r="I260">
        <f>WEEKNUM(A260)</f>
        <v>20</v>
      </c>
    </row>
    <row r="261" spans="1:9" ht="14.25" customHeight="1" x14ac:dyDescent="0.3">
      <c r="A261" s="18">
        <v>43965</v>
      </c>
      <c r="B261" s="20" t="s">
        <v>22</v>
      </c>
      <c r="C261" s="20">
        <v>186496.5</v>
      </c>
      <c r="D261" s="20">
        <v>18640998</v>
      </c>
      <c r="E261" s="7">
        <f>VLOOKUP(A261,Лист2!$A$2:$E$505,3)</f>
        <v>10</v>
      </c>
      <c r="F261" s="7">
        <f>VLOOKUP(A261,Лист2!$A$2:$E$505,4)</f>
        <v>627</v>
      </c>
      <c r="G261" s="7">
        <f>VLOOKUP(A261,Лист2!$A$2:$E$505,5)</f>
        <v>545</v>
      </c>
      <c r="H261">
        <f>D261/E261</f>
        <v>1864099.8</v>
      </c>
      <c r="I261">
        <f>WEEKNUM(A261)</f>
        <v>20</v>
      </c>
    </row>
    <row r="262" spans="1:9" ht="14.25" customHeight="1" x14ac:dyDescent="0.3">
      <c r="A262" s="17">
        <v>43966</v>
      </c>
      <c r="B262" s="19" t="s">
        <v>22</v>
      </c>
      <c r="C262" s="19">
        <v>219772.5</v>
      </c>
      <c r="D262" s="19">
        <v>21895294.5</v>
      </c>
      <c r="E262" s="7">
        <f>VLOOKUP(A262,Лист2!$A$2:$E$505,3)</f>
        <v>10</v>
      </c>
      <c r="F262" s="7">
        <f>VLOOKUP(A262,Лист2!$A$2:$E$505,4)</f>
        <v>743</v>
      </c>
      <c r="G262" s="7">
        <f>VLOOKUP(A262,Лист2!$A$2:$E$505,5)</f>
        <v>652</v>
      </c>
      <c r="H262">
        <f>D262/E262</f>
        <v>2189529.4500000002</v>
      </c>
      <c r="I262">
        <f>WEEKNUM(A262)</f>
        <v>20</v>
      </c>
    </row>
    <row r="263" spans="1:9" ht="14.25" customHeight="1" x14ac:dyDescent="0.3">
      <c r="A263" s="18">
        <v>43962</v>
      </c>
      <c r="B263" s="20" t="s">
        <v>23</v>
      </c>
      <c r="C263" s="20">
        <v>10941</v>
      </c>
      <c r="D263" s="20">
        <v>880356</v>
      </c>
      <c r="E263" s="7">
        <f>VLOOKUP(A263,Лист2!$A$2:$E$505,3)</f>
        <v>10</v>
      </c>
      <c r="F263" s="7">
        <f>VLOOKUP(A263,Лист2!$A$2:$E$505,4)</f>
        <v>494</v>
      </c>
      <c r="G263" s="7">
        <f>VLOOKUP(A263,Лист2!$A$2:$E$505,5)</f>
        <v>421</v>
      </c>
      <c r="H263">
        <f>D263/E263</f>
        <v>88035.6</v>
      </c>
      <c r="I263">
        <f>WEEKNUM(A263)</f>
        <v>20</v>
      </c>
    </row>
    <row r="264" spans="1:9" ht="14.25" customHeight="1" x14ac:dyDescent="0.3">
      <c r="A264" s="5">
        <v>43965</v>
      </c>
      <c r="B264" s="6" t="s">
        <v>23</v>
      </c>
      <c r="C264" s="6">
        <v>13810.5</v>
      </c>
      <c r="D264" s="6">
        <v>1131676.5</v>
      </c>
      <c r="E264" s="7">
        <f>VLOOKUP(A264,Лист2!$A$2:$E$505,3)</f>
        <v>10</v>
      </c>
      <c r="F264" s="7">
        <f>VLOOKUP(A264,Лист2!$A$2:$E$505,4)</f>
        <v>627</v>
      </c>
      <c r="G264" s="7">
        <f>VLOOKUP(A264,Лист2!$A$2:$E$505,5)</f>
        <v>545</v>
      </c>
      <c r="H264">
        <f>D264/E264</f>
        <v>113167.65</v>
      </c>
      <c r="I264">
        <f>WEEKNUM(A264)</f>
        <v>20</v>
      </c>
    </row>
    <row r="265" spans="1:9" ht="14.25" customHeight="1" x14ac:dyDescent="0.3">
      <c r="A265" s="8">
        <v>43966</v>
      </c>
      <c r="B265" s="9" t="s">
        <v>23</v>
      </c>
      <c r="C265" s="9">
        <v>13752</v>
      </c>
      <c r="D265" s="9">
        <v>1091040</v>
      </c>
      <c r="E265" s="7">
        <f>VLOOKUP(A265,Лист2!$A$2:$E$505,3)</f>
        <v>10</v>
      </c>
      <c r="F265" s="7">
        <f>VLOOKUP(A265,Лист2!$A$2:$E$505,4)</f>
        <v>743</v>
      </c>
      <c r="G265" s="7">
        <f>VLOOKUP(A265,Лист2!$A$2:$E$505,5)</f>
        <v>652</v>
      </c>
      <c r="H265">
        <f>D265/E265</f>
        <v>109104</v>
      </c>
      <c r="I265">
        <f>WEEKNUM(A265)</f>
        <v>20</v>
      </c>
    </row>
    <row r="266" spans="1:9" ht="14.25" customHeight="1" x14ac:dyDescent="0.3">
      <c r="A266" s="5">
        <v>43970</v>
      </c>
      <c r="B266" s="6" t="s">
        <v>10</v>
      </c>
      <c r="C266" s="6">
        <v>31842</v>
      </c>
      <c r="D266" s="6">
        <v>2771116.5</v>
      </c>
      <c r="E266" s="7">
        <f>VLOOKUP(A266,Лист2!$A$2:$E$505,3)</f>
        <v>10</v>
      </c>
      <c r="F266" s="7">
        <f>VLOOKUP(A266,Лист2!$A$2:$E$505,4)</f>
        <v>649</v>
      </c>
      <c r="G266" s="7">
        <f>VLOOKUP(A266,Лист2!$A$2:$E$505,5)</f>
        <v>568</v>
      </c>
      <c r="H266">
        <f>D266/E266</f>
        <v>277111.65000000002</v>
      </c>
      <c r="I266">
        <f>WEEKNUM(A266)</f>
        <v>21</v>
      </c>
    </row>
    <row r="267" spans="1:9" ht="14.25" customHeight="1" x14ac:dyDescent="0.3">
      <c r="A267" s="8">
        <v>43968</v>
      </c>
      <c r="B267" s="9" t="s">
        <v>10</v>
      </c>
      <c r="C267" s="9">
        <v>32023.5</v>
      </c>
      <c r="D267" s="9">
        <v>2882458.5</v>
      </c>
      <c r="E267" s="7">
        <f>VLOOKUP(A267,Лист2!$A$2:$E$505,3)</f>
        <v>10</v>
      </c>
      <c r="F267" s="7">
        <f>VLOOKUP(A267,Лист2!$A$2:$E$505,4)</f>
        <v>591</v>
      </c>
      <c r="G267" s="7">
        <f>VLOOKUP(A267,Лист2!$A$2:$E$505,5)</f>
        <v>513</v>
      </c>
      <c r="H267">
        <f>D267/E267</f>
        <v>288245.84999999998</v>
      </c>
      <c r="I267">
        <f>WEEKNUM(A267)</f>
        <v>21</v>
      </c>
    </row>
    <row r="268" spans="1:9" ht="14.25" customHeight="1" x14ac:dyDescent="0.3">
      <c r="A268" s="17">
        <v>43972</v>
      </c>
      <c r="B268" s="19" t="s">
        <v>10</v>
      </c>
      <c r="C268" s="19">
        <v>31272</v>
      </c>
      <c r="D268" s="19">
        <v>2744382</v>
      </c>
      <c r="E268" s="7">
        <f>VLOOKUP(A268,Лист2!$A$2:$E$505,3)</f>
        <v>10</v>
      </c>
      <c r="F268" s="7">
        <f>VLOOKUP(A268,Лист2!$A$2:$E$505,4)</f>
        <v>677</v>
      </c>
      <c r="G268" s="7">
        <f>VLOOKUP(A268,Лист2!$A$2:$E$505,5)</f>
        <v>591</v>
      </c>
      <c r="H268">
        <f>D268/E268</f>
        <v>274438.2</v>
      </c>
      <c r="I268">
        <f>WEEKNUM(A268)</f>
        <v>21</v>
      </c>
    </row>
    <row r="269" spans="1:9" ht="14.25" customHeight="1" x14ac:dyDescent="0.3">
      <c r="A269" s="18">
        <v>43971</v>
      </c>
      <c r="B269" s="20" t="s">
        <v>10</v>
      </c>
      <c r="C269" s="20">
        <v>34077</v>
      </c>
      <c r="D269" s="20">
        <v>2929330.5</v>
      </c>
      <c r="E269" s="7">
        <f>VLOOKUP(A269,Лист2!$A$2:$E$505,3)</f>
        <v>10</v>
      </c>
      <c r="F269" s="7">
        <f>VLOOKUP(A269,Лист2!$A$2:$E$505,4)</f>
        <v>745</v>
      </c>
      <c r="G269" s="7">
        <f>VLOOKUP(A269,Лист2!$A$2:$E$505,5)</f>
        <v>654</v>
      </c>
      <c r="H269">
        <f>D269/E269</f>
        <v>292933.05</v>
      </c>
      <c r="I269">
        <f>WEEKNUM(A269)</f>
        <v>21</v>
      </c>
    </row>
    <row r="270" spans="1:9" ht="14.25" customHeight="1" x14ac:dyDescent="0.3">
      <c r="A270" s="5">
        <v>43974</v>
      </c>
      <c r="B270" s="6" t="s">
        <v>10</v>
      </c>
      <c r="C270" s="6">
        <v>42703.5</v>
      </c>
      <c r="D270" s="6">
        <v>3628726.5</v>
      </c>
      <c r="E270" s="7">
        <f>VLOOKUP(A270,Лист2!$A$2:$E$505,3)</f>
        <v>10</v>
      </c>
      <c r="F270" s="7">
        <f>VLOOKUP(A270,Лист2!$A$2:$E$505,4)</f>
        <v>828</v>
      </c>
      <c r="G270" s="7">
        <f>VLOOKUP(A270,Лист2!$A$2:$E$505,5)</f>
        <v>734</v>
      </c>
      <c r="H270">
        <f>D270/E270</f>
        <v>362872.65</v>
      </c>
      <c r="I270">
        <f>WEEKNUM(A270)</f>
        <v>21</v>
      </c>
    </row>
    <row r="271" spans="1:9" ht="14.25" customHeight="1" x14ac:dyDescent="0.3">
      <c r="A271" s="8">
        <v>43970</v>
      </c>
      <c r="B271" s="9" t="s">
        <v>11</v>
      </c>
      <c r="C271" s="9">
        <v>84024</v>
      </c>
      <c r="D271" s="9">
        <v>6815511</v>
      </c>
      <c r="E271" s="7">
        <f>VLOOKUP(A271,Лист2!$A$2:$E$505,3)</f>
        <v>10</v>
      </c>
      <c r="F271" s="7">
        <f>VLOOKUP(A271,Лист2!$A$2:$E$505,4)</f>
        <v>649</v>
      </c>
      <c r="G271" s="7">
        <f>VLOOKUP(A271,Лист2!$A$2:$E$505,5)</f>
        <v>568</v>
      </c>
      <c r="H271">
        <f>D271/E271</f>
        <v>681551.1</v>
      </c>
      <c r="I271">
        <f>WEEKNUM(A271)</f>
        <v>21</v>
      </c>
    </row>
    <row r="272" spans="1:9" ht="14.25" customHeight="1" x14ac:dyDescent="0.3">
      <c r="A272" s="5">
        <v>43968</v>
      </c>
      <c r="B272" s="6" t="s">
        <v>11</v>
      </c>
      <c r="C272" s="6">
        <v>78057</v>
      </c>
      <c r="D272" s="6">
        <v>6774946.5</v>
      </c>
      <c r="E272" s="7">
        <f>VLOOKUP(A272,Лист2!$A$2:$E$505,3)</f>
        <v>10</v>
      </c>
      <c r="F272" s="7">
        <f>VLOOKUP(A272,Лист2!$A$2:$E$505,4)</f>
        <v>591</v>
      </c>
      <c r="G272" s="7">
        <f>VLOOKUP(A272,Лист2!$A$2:$E$505,5)</f>
        <v>513</v>
      </c>
      <c r="H272">
        <f>D272/E272</f>
        <v>677494.65</v>
      </c>
      <c r="I272">
        <f>WEEKNUM(A272)</f>
        <v>21</v>
      </c>
    </row>
    <row r="273" spans="1:9" ht="14.25" customHeight="1" x14ac:dyDescent="0.3">
      <c r="A273" s="18">
        <v>43972</v>
      </c>
      <c r="B273" s="20" t="s">
        <v>11</v>
      </c>
      <c r="C273" s="20">
        <v>79485</v>
      </c>
      <c r="D273" s="20">
        <v>6633847.5</v>
      </c>
      <c r="E273" s="7">
        <f>VLOOKUP(A273,Лист2!$A$2:$E$505,3)</f>
        <v>10</v>
      </c>
      <c r="F273" s="7">
        <f>VLOOKUP(A273,Лист2!$A$2:$E$505,4)</f>
        <v>677</v>
      </c>
      <c r="G273" s="7">
        <f>VLOOKUP(A273,Лист2!$A$2:$E$505,5)</f>
        <v>591</v>
      </c>
      <c r="H273">
        <f>D273/E273</f>
        <v>663384.75</v>
      </c>
      <c r="I273">
        <f>WEEKNUM(A273)</f>
        <v>21</v>
      </c>
    </row>
    <row r="274" spans="1:9" ht="14.25" customHeight="1" x14ac:dyDescent="0.3">
      <c r="A274" s="17">
        <v>43971</v>
      </c>
      <c r="B274" s="19" t="s">
        <v>11</v>
      </c>
      <c r="C274" s="19">
        <v>93313.5</v>
      </c>
      <c r="D274" s="19">
        <v>7247575.5</v>
      </c>
      <c r="E274" s="7">
        <f>VLOOKUP(A274,Лист2!$A$2:$E$505,3)</f>
        <v>10</v>
      </c>
      <c r="F274" s="7">
        <f>VLOOKUP(A274,Лист2!$A$2:$E$505,4)</f>
        <v>745</v>
      </c>
      <c r="G274" s="7">
        <f>VLOOKUP(A274,Лист2!$A$2:$E$505,5)</f>
        <v>654</v>
      </c>
      <c r="H274">
        <f>D274/E274</f>
        <v>724757.55</v>
      </c>
      <c r="I274">
        <f>WEEKNUM(A274)</f>
        <v>21</v>
      </c>
    </row>
    <row r="275" spans="1:9" ht="14.25" customHeight="1" x14ac:dyDescent="0.3">
      <c r="A275" s="8">
        <v>43974</v>
      </c>
      <c r="B275" s="9" t="s">
        <v>11</v>
      </c>
      <c r="C275" s="9">
        <v>102889.5</v>
      </c>
      <c r="D275" s="9">
        <v>8089143</v>
      </c>
      <c r="E275" s="7">
        <f>VLOOKUP(A275,Лист2!$A$2:$E$505,3)</f>
        <v>10</v>
      </c>
      <c r="F275" s="7">
        <f>VLOOKUP(A275,Лист2!$A$2:$E$505,4)</f>
        <v>828</v>
      </c>
      <c r="G275" s="7">
        <f>VLOOKUP(A275,Лист2!$A$2:$E$505,5)</f>
        <v>734</v>
      </c>
      <c r="H275">
        <f>D275/E275</f>
        <v>808914.3</v>
      </c>
      <c r="I275">
        <f>WEEKNUM(A275)</f>
        <v>21</v>
      </c>
    </row>
    <row r="276" spans="1:9" ht="14.25" customHeight="1" x14ac:dyDescent="0.3">
      <c r="A276" s="17">
        <v>43970</v>
      </c>
      <c r="B276" s="19" t="s">
        <v>12</v>
      </c>
      <c r="C276" s="19">
        <v>11526</v>
      </c>
      <c r="D276" s="19">
        <v>938764.5</v>
      </c>
      <c r="E276" s="7">
        <f>VLOOKUP(A276,Лист2!$A$2:$E$505,3)</f>
        <v>10</v>
      </c>
      <c r="F276" s="7">
        <f>VLOOKUP(A276,Лист2!$A$2:$E$505,4)</f>
        <v>649</v>
      </c>
      <c r="G276" s="7">
        <f>VLOOKUP(A276,Лист2!$A$2:$E$505,5)</f>
        <v>568</v>
      </c>
      <c r="H276">
        <f>D276/E276</f>
        <v>93876.45</v>
      </c>
      <c r="I276">
        <f>WEEKNUM(A276)</f>
        <v>21</v>
      </c>
    </row>
    <row r="277" spans="1:9" ht="14.25" customHeight="1" x14ac:dyDescent="0.3">
      <c r="A277" s="18">
        <v>43968</v>
      </c>
      <c r="B277" s="20" t="s">
        <v>12</v>
      </c>
      <c r="C277" s="20">
        <v>10402.5</v>
      </c>
      <c r="D277" s="20">
        <v>843727.5</v>
      </c>
      <c r="E277" s="7">
        <f>VLOOKUP(A277,Лист2!$A$2:$E$505,3)</f>
        <v>10</v>
      </c>
      <c r="F277" s="7">
        <f>VLOOKUP(A277,Лист2!$A$2:$E$505,4)</f>
        <v>591</v>
      </c>
      <c r="G277" s="7">
        <f>VLOOKUP(A277,Лист2!$A$2:$E$505,5)</f>
        <v>513</v>
      </c>
      <c r="H277">
        <f>D277/E277</f>
        <v>84372.75</v>
      </c>
      <c r="I277">
        <f>WEEKNUM(A277)</f>
        <v>21</v>
      </c>
    </row>
    <row r="278" spans="1:9" ht="14.25" customHeight="1" x14ac:dyDescent="0.3">
      <c r="A278" s="5">
        <v>43972</v>
      </c>
      <c r="B278" s="6" t="s">
        <v>12</v>
      </c>
      <c r="C278" s="6">
        <v>11250</v>
      </c>
      <c r="D278" s="6">
        <v>935523</v>
      </c>
      <c r="E278" s="7">
        <f>VLOOKUP(A278,Лист2!$A$2:$E$505,3)</f>
        <v>10</v>
      </c>
      <c r="F278" s="7">
        <f>VLOOKUP(A278,Лист2!$A$2:$E$505,4)</f>
        <v>677</v>
      </c>
      <c r="G278" s="7">
        <f>VLOOKUP(A278,Лист2!$A$2:$E$505,5)</f>
        <v>591</v>
      </c>
      <c r="H278">
        <f>D278/E278</f>
        <v>93552.3</v>
      </c>
      <c r="I278">
        <f>WEEKNUM(A278)</f>
        <v>21</v>
      </c>
    </row>
    <row r="279" spans="1:9" ht="14.25" customHeight="1" x14ac:dyDescent="0.3">
      <c r="A279" s="8">
        <v>43971</v>
      </c>
      <c r="B279" s="9" t="s">
        <v>12</v>
      </c>
      <c r="C279" s="9">
        <v>13063.5</v>
      </c>
      <c r="D279" s="9">
        <v>1037247</v>
      </c>
      <c r="E279" s="7">
        <f>VLOOKUP(A279,Лист2!$A$2:$E$505,3)</f>
        <v>10</v>
      </c>
      <c r="F279" s="7">
        <f>VLOOKUP(A279,Лист2!$A$2:$E$505,4)</f>
        <v>745</v>
      </c>
      <c r="G279" s="7">
        <f>VLOOKUP(A279,Лист2!$A$2:$E$505,5)</f>
        <v>654</v>
      </c>
      <c r="H279">
        <f>D279/E279</f>
        <v>103724.7</v>
      </c>
      <c r="I279">
        <f>WEEKNUM(A279)</f>
        <v>21</v>
      </c>
    </row>
    <row r="280" spans="1:9" ht="14.25" customHeight="1" x14ac:dyDescent="0.3">
      <c r="A280" s="17">
        <v>43974</v>
      </c>
      <c r="B280" s="19" t="s">
        <v>12</v>
      </c>
      <c r="C280" s="19">
        <v>14773.5</v>
      </c>
      <c r="D280" s="19">
        <v>1241383.5</v>
      </c>
      <c r="E280" s="7">
        <f>VLOOKUP(A280,Лист2!$A$2:$E$505,3)</f>
        <v>10</v>
      </c>
      <c r="F280" s="7">
        <f>VLOOKUP(A280,Лист2!$A$2:$E$505,4)</f>
        <v>828</v>
      </c>
      <c r="G280" s="7">
        <f>VLOOKUP(A280,Лист2!$A$2:$E$505,5)</f>
        <v>734</v>
      </c>
      <c r="H280">
        <f>D280/E280</f>
        <v>124138.35</v>
      </c>
      <c r="I280">
        <f>WEEKNUM(A280)</f>
        <v>21</v>
      </c>
    </row>
    <row r="281" spans="1:9" ht="14.25" customHeight="1" x14ac:dyDescent="0.3">
      <c r="A281" s="8">
        <v>43970</v>
      </c>
      <c r="B281" s="9" t="s">
        <v>13</v>
      </c>
      <c r="C281" s="9">
        <v>32434.5</v>
      </c>
      <c r="D281" s="9">
        <v>2865337.5</v>
      </c>
      <c r="E281" s="7">
        <f>VLOOKUP(A281,Лист2!$A$2:$E$505,3)</f>
        <v>10</v>
      </c>
      <c r="F281" s="7">
        <f>VLOOKUP(A281,Лист2!$A$2:$E$505,4)</f>
        <v>649</v>
      </c>
      <c r="G281" s="7">
        <f>VLOOKUP(A281,Лист2!$A$2:$E$505,5)</f>
        <v>568</v>
      </c>
      <c r="H281">
        <f>D281/E281</f>
        <v>286533.75</v>
      </c>
      <c r="I281">
        <f>WEEKNUM(A281)</f>
        <v>21</v>
      </c>
    </row>
    <row r="282" spans="1:9" ht="14.25" customHeight="1" x14ac:dyDescent="0.3">
      <c r="A282" s="5">
        <v>43968</v>
      </c>
      <c r="B282" s="6" t="s">
        <v>13</v>
      </c>
      <c r="C282" s="6">
        <v>30486</v>
      </c>
      <c r="D282" s="6">
        <v>2694289.5</v>
      </c>
      <c r="E282" s="7">
        <f>VLOOKUP(A282,Лист2!$A$2:$E$505,3)</f>
        <v>10</v>
      </c>
      <c r="F282" s="7">
        <f>VLOOKUP(A282,Лист2!$A$2:$E$505,4)</f>
        <v>591</v>
      </c>
      <c r="G282" s="7">
        <f>VLOOKUP(A282,Лист2!$A$2:$E$505,5)</f>
        <v>513</v>
      </c>
      <c r="H282">
        <f>D282/E282</f>
        <v>269428.95</v>
      </c>
      <c r="I282">
        <f>WEEKNUM(A282)</f>
        <v>21</v>
      </c>
    </row>
    <row r="283" spans="1:9" ht="14.25" customHeight="1" x14ac:dyDescent="0.3">
      <c r="A283" s="18">
        <v>43972</v>
      </c>
      <c r="B283" s="20" t="s">
        <v>13</v>
      </c>
      <c r="C283" s="20">
        <v>31707</v>
      </c>
      <c r="D283" s="20">
        <v>2853181.5</v>
      </c>
      <c r="E283" s="7">
        <f>VLOOKUP(A283,Лист2!$A$2:$E$505,3)</f>
        <v>10</v>
      </c>
      <c r="F283" s="7">
        <f>VLOOKUP(A283,Лист2!$A$2:$E$505,4)</f>
        <v>677</v>
      </c>
      <c r="G283" s="7">
        <f>VLOOKUP(A283,Лист2!$A$2:$E$505,5)</f>
        <v>591</v>
      </c>
      <c r="H283">
        <f>D283/E283</f>
        <v>285318.15000000002</v>
      </c>
      <c r="I283">
        <f>WEEKNUM(A283)</f>
        <v>21</v>
      </c>
    </row>
    <row r="284" spans="1:9" ht="14.25" customHeight="1" x14ac:dyDescent="0.3">
      <c r="A284" s="17">
        <v>43971</v>
      </c>
      <c r="B284" s="19" t="s">
        <v>13</v>
      </c>
      <c r="C284" s="19">
        <v>29955</v>
      </c>
      <c r="D284" s="19">
        <v>2692230</v>
      </c>
      <c r="E284" s="7">
        <f>VLOOKUP(A284,Лист2!$A$2:$E$505,3)</f>
        <v>10</v>
      </c>
      <c r="F284" s="7">
        <f>VLOOKUP(A284,Лист2!$A$2:$E$505,4)</f>
        <v>745</v>
      </c>
      <c r="G284" s="7">
        <f>VLOOKUP(A284,Лист2!$A$2:$E$505,5)</f>
        <v>654</v>
      </c>
      <c r="H284">
        <f>D284/E284</f>
        <v>269223</v>
      </c>
      <c r="I284">
        <f>WEEKNUM(A284)</f>
        <v>21</v>
      </c>
    </row>
    <row r="285" spans="1:9" ht="14.25" customHeight="1" x14ac:dyDescent="0.3">
      <c r="A285" s="8">
        <v>43974</v>
      </c>
      <c r="B285" s="9" t="s">
        <v>13</v>
      </c>
      <c r="C285" s="9">
        <v>38176.5</v>
      </c>
      <c r="D285" s="9">
        <v>3385372.5</v>
      </c>
      <c r="E285" s="7">
        <f>VLOOKUP(A285,Лист2!$A$2:$E$505,3)</f>
        <v>10</v>
      </c>
      <c r="F285" s="7">
        <f>VLOOKUP(A285,Лист2!$A$2:$E$505,4)</f>
        <v>828</v>
      </c>
      <c r="G285" s="7">
        <f>VLOOKUP(A285,Лист2!$A$2:$E$505,5)</f>
        <v>734</v>
      </c>
      <c r="H285">
        <f>D285/E285</f>
        <v>338537.25</v>
      </c>
      <c r="I285">
        <f>WEEKNUM(A285)</f>
        <v>21</v>
      </c>
    </row>
    <row r="286" spans="1:9" ht="14.25" customHeight="1" x14ac:dyDescent="0.3">
      <c r="A286" s="5">
        <v>43970</v>
      </c>
      <c r="B286" s="6" t="s">
        <v>14</v>
      </c>
      <c r="C286" s="6">
        <v>276568.5</v>
      </c>
      <c r="D286" s="6">
        <v>27093624</v>
      </c>
      <c r="E286" s="7">
        <f>VLOOKUP(A286,Лист2!$A$2:$E$505,3)</f>
        <v>10</v>
      </c>
      <c r="F286" s="7">
        <f>VLOOKUP(A286,Лист2!$A$2:$E$505,4)</f>
        <v>649</v>
      </c>
      <c r="G286" s="7">
        <f>VLOOKUP(A286,Лист2!$A$2:$E$505,5)</f>
        <v>568</v>
      </c>
      <c r="H286">
        <f>D286/E286</f>
        <v>2709362.4</v>
      </c>
      <c r="I286">
        <f>WEEKNUM(A286)</f>
        <v>21</v>
      </c>
    </row>
    <row r="287" spans="1:9" ht="14.25" customHeight="1" x14ac:dyDescent="0.3">
      <c r="A287" s="8">
        <v>43968</v>
      </c>
      <c r="B287" s="9" t="s">
        <v>14</v>
      </c>
      <c r="C287" s="9">
        <v>269029.5</v>
      </c>
      <c r="D287" s="9">
        <v>26659930.5</v>
      </c>
      <c r="E287" s="7">
        <f>VLOOKUP(A287,Лист2!$A$2:$E$505,3)</f>
        <v>10</v>
      </c>
      <c r="F287" s="7">
        <f>VLOOKUP(A287,Лист2!$A$2:$E$505,4)</f>
        <v>591</v>
      </c>
      <c r="G287" s="7">
        <f>VLOOKUP(A287,Лист2!$A$2:$E$505,5)</f>
        <v>513</v>
      </c>
      <c r="H287">
        <f>D287/E287</f>
        <v>2665993.0499999998</v>
      </c>
      <c r="I287">
        <f>WEEKNUM(A287)</f>
        <v>21</v>
      </c>
    </row>
    <row r="288" spans="1:9" ht="14.25" customHeight="1" x14ac:dyDescent="0.3">
      <c r="A288" s="17">
        <v>43972</v>
      </c>
      <c r="B288" s="19" t="s">
        <v>14</v>
      </c>
      <c r="C288" s="19">
        <v>288936</v>
      </c>
      <c r="D288" s="19">
        <v>27852900</v>
      </c>
      <c r="E288" s="7">
        <f>VLOOKUP(A288,Лист2!$A$2:$E$505,3)</f>
        <v>10</v>
      </c>
      <c r="F288" s="7">
        <f>VLOOKUP(A288,Лист2!$A$2:$E$505,4)</f>
        <v>677</v>
      </c>
      <c r="G288" s="7">
        <f>VLOOKUP(A288,Лист2!$A$2:$E$505,5)</f>
        <v>591</v>
      </c>
      <c r="H288">
        <f>D288/E288</f>
        <v>2785290</v>
      </c>
      <c r="I288">
        <f>WEEKNUM(A288)</f>
        <v>21</v>
      </c>
    </row>
    <row r="289" spans="1:9" ht="14.25" customHeight="1" x14ac:dyDescent="0.3">
      <c r="A289" s="18">
        <v>43971</v>
      </c>
      <c r="B289" s="20" t="s">
        <v>14</v>
      </c>
      <c r="C289" s="20">
        <v>300151.5</v>
      </c>
      <c r="D289" s="20">
        <v>29368771.617449999</v>
      </c>
      <c r="E289" s="7">
        <f>VLOOKUP(A289,Лист2!$A$2:$E$505,3)</f>
        <v>10</v>
      </c>
      <c r="F289" s="7">
        <f>VLOOKUP(A289,Лист2!$A$2:$E$505,4)</f>
        <v>745</v>
      </c>
      <c r="G289" s="7">
        <f>VLOOKUP(A289,Лист2!$A$2:$E$505,5)</f>
        <v>654</v>
      </c>
      <c r="H289">
        <f>D289/E289</f>
        <v>2936877.1617449997</v>
      </c>
      <c r="I289">
        <f>WEEKNUM(A289)</f>
        <v>21</v>
      </c>
    </row>
    <row r="290" spans="1:9" ht="14.25" customHeight="1" x14ac:dyDescent="0.3">
      <c r="A290" s="5">
        <v>43974</v>
      </c>
      <c r="B290" s="6" t="s">
        <v>14</v>
      </c>
      <c r="C290" s="6">
        <v>356982</v>
      </c>
      <c r="D290" s="6">
        <v>35103926.711549997</v>
      </c>
      <c r="E290" s="7">
        <f>VLOOKUP(A290,Лист2!$A$2:$E$505,3)</f>
        <v>10</v>
      </c>
      <c r="F290" s="7">
        <f>VLOOKUP(A290,Лист2!$A$2:$E$505,4)</f>
        <v>828</v>
      </c>
      <c r="G290" s="7">
        <f>VLOOKUP(A290,Лист2!$A$2:$E$505,5)</f>
        <v>734</v>
      </c>
      <c r="H290">
        <f>D290/E290</f>
        <v>3510392.6711549996</v>
      </c>
      <c r="I290">
        <f>WEEKNUM(A290)</f>
        <v>21</v>
      </c>
    </row>
    <row r="291" spans="1:9" ht="14.25" customHeight="1" x14ac:dyDescent="0.3">
      <c r="A291" s="18">
        <v>43970</v>
      </c>
      <c r="B291" s="20" t="s">
        <v>15</v>
      </c>
      <c r="C291" s="20">
        <v>362536.5</v>
      </c>
      <c r="D291" s="20">
        <v>37023243</v>
      </c>
      <c r="E291" s="7">
        <f>VLOOKUP(A291,Лист2!$A$2:$E$505,3)</f>
        <v>10</v>
      </c>
      <c r="F291" s="7">
        <f>VLOOKUP(A291,Лист2!$A$2:$E$505,4)</f>
        <v>649</v>
      </c>
      <c r="G291" s="7">
        <f>VLOOKUP(A291,Лист2!$A$2:$E$505,5)</f>
        <v>568</v>
      </c>
      <c r="H291">
        <f>D291/E291</f>
        <v>3702324.3</v>
      </c>
      <c r="I291">
        <f>WEEKNUM(A291)</f>
        <v>21</v>
      </c>
    </row>
    <row r="292" spans="1:9" ht="14.25" customHeight="1" x14ac:dyDescent="0.3">
      <c r="A292" s="17">
        <v>43968</v>
      </c>
      <c r="B292" s="19" t="s">
        <v>15</v>
      </c>
      <c r="C292" s="19">
        <v>357072</v>
      </c>
      <c r="D292" s="19">
        <v>36834567</v>
      </c>
      <c r="E292" s="7">
        <f>VLOOKUP(A292,Лист2!$A$2:$E$505,3)</f>
        <v>10</v>
      </c>
      <c r="F292" s="7">
        <f>VLOOKUP(A292,Лист2!$A$2:$E$505,4)</f>
        <v>591</v>
      </c>
      <c r="G292" s="7">
        <f>VLOOKUP(A292,Лист2!$A$2:$E$505,5)</f>
        <v>513</v>
      </c>
      <c r="H292">
        <f>D292/E292</f>
        <v>3683456.7</v>
      </c>
      <c r="I292">
        <f>WEEKNUM(A292)</f>
        <v>21</v>
      </c>
    </row>
    <row r="293" spans="1:9" ht="14.25" customHeight="1" x14ac:dyDescent="0.3">
      <c r="A293" s="8">
        <v>43972</v>
      </c>
      <c r="B293" s="9" t="s">
        <v>15</v>
      </c>
      <c r="C293" s="9">
        <v>378043.5</v>
      </c>
      <c r="D293" s="9">
        <v>37902156.57</v>
      </c>
      <c r="E293" s="7">
        <f>VLOOKUP(A293,Лист2!$A$2:$E$505,3)</f>
        <v>10</v>
      </c>
      <c r="F293" s="7">
        <f>VLOOKUP(A293,Лист2!$A$2:$E$505,4)</f>
        <v>677</v>
      </c>
      <c r="G293" s="7">
        <f>VLOOKUP(A293,Лист2!$A$2:$E$505,5)</f>
        <v>591</v>
      </c>
      <c r="H293">
        <f>D293/E293</f>
        <v>3790215.6570000001</v>
      </c>
      <c r="I293">
        <f>WEEKNUM(A293)</f>
        <v>21</v>
      </c>
    </row>
    <row r="294" spans="1:9" ht="14.25" customHeight="1" x14ac:dyDescent="0.3">
      <c r="A294" s="5">
        <v>43971</v>
      </c>
      <c r="B294" s="6" t="s">
        <v>15</v>
      </c>
      <c r="C294" s="6">
        <v>388668</v>
      </c>
      <c r="D294" s="6">
        <v>39639309</v>
      </c>
      <c r="E294" s="7">
        <f>VLOOKUP(A294,Лист2!$A$2:$E$505,3)</f>
        <v>10</v>
      </c>
      <c r="F294" s="7">
        <f>VLOOKUP(A294,Лист2!$A$2:$E$505,4)</f>
        <v>745</v>
      </c>
      <c r="G294" s="7">
        <f>VLOOKUP(A294,Лист2!$A$2:$E$505,5)</f>
        <v>654</v>
      </c>
      <c r="H294">
        <f>D294/E294</f>
        <v>3963930.9</v>
      </c>
      <c r="I294">
        <f>WEEKNUM(A294)</f>
        <v>21</v>
      </c>
    </row>
    <row r="295" spans="1:9" ht="14.25" customHeight="1" x14ac:dyDescent="0.3">
      <c r="A295" s="18">
        <v>43974</v>
      </c>
      <c r="B295" s="20" t="s">
        <v>15</v>
      </c>
      <c r="C295" s="20">
        <v>456885</v>
      </c>
      <c r="D295" s="20">
        <v>46408080</v>
      </c>
      <c r="E295" s="7">
        <f>VLOOKUP(A295,Лист2!$A$2:$E$505,3)</f>
        <v>10</v>
      </c>
      <c r="F295" s="7">
        <f>VLOOKUP(A295,Лист2!$A$2:$E$505,4)</f>
        <v>828</v>
      </c>
      <c r="G295" s="7">
        <f>VLOOKUP(A295,Лист2!$A$2:$E$505,5)</f>
        <v>734</v>
      </c>
      <c r="H295">
        <f>D295/E295</f>
        <v>4640808</v>
      </c>
      <c r="I295">
        <f>WEEKNUM(A295)</f>
        <v>21</v>
      </c>
    </row>
    <row r="296" spans="1:9" ht="14.25" customHeight="1" x14ac:dyDescent="0.3">
      <c r="A296" s="17">
        <v>43970</v>
      </c>
      <c r="B296" s="19" t="s">
        <v>16</v>
      </c>
      <c r="C296" s="19">
        <v>75796.5</v>
      </c>
      <c r="D296" s="19">
        <v>6173463</v>
      </c>
      <c r="E296" s="7">
        <f>VLOOKUP(A296,Лист2!$A$2:$E$505,3)</f>
        <v>10</v>
      </c>
      <c r="F296" s="7">
        <f>VLOOKUP(A296,Лист2!$A$2:$E$505,4)</f>
        <v>649</v>
      </c>
      <c r="G296" s="7">
        <f>VLOOKUP(A296,Лист2!$A$2:$E$505,5)</f>
        <v>568</v>
      </c>
      <c r="H296">
        <f>D296/E296</f>
        <v>617346.30000000005</v>
      </c>
      <c r="I296">
        <f>WEEKNUM(A296)</f>
        <v>21</v>
      </c>
    </row>
    <row r="297" spans="1:9" ht="14.25" customHeight="1" x14ac:dyDescent="0.3">
      <c r="A297" s="18">
        <v>43968</v>
      </c>
      <c r="B297" s="20" t="s">
        <v>16</v>
      </c>
      <c r="C297" s="20">
        <v>72861</v>
      </c>
      <c r="D297" s="20">
        <v>5952802.5</v>
      </c>
      <c r="E297" s="7">
        <f>VLOOKUP(A297,Лист2!$A$2:$E$505,3)</f>
        <v>10</v>
      </c>
      <c r="F297" s="7">
        <f>VLOOKUP(A297,Лист2!$A$2:$E$505,4)</f>
        <v>591</v>
      </c>
      <c r="G297" s="7">
        <f>VLOOKUP(A297,Лист2!$A$2:$E$505,5)</f>
        <v>513</v>
      </c>
      <c r="H297">
        <f>D297/E297</f>
        <v>595280.25</v>
      </c>
      <c r="I297">
        <f>WEEKNUM(A297)</f>
        <v>21</v>
      </c>
    </row>
    <row r="298" spans="1:9" ht="14.25" customHeight="1" x14ac:dyDescent="0.3">
      <c r="A298" s="5">
        <v>43972</v>
      </c>
      <c r="B298" s="6" t="s">
        <v>16</v>
      </c>
      <c r="C298" s="6">
        <v>73126.5</v>
      </c>
      <c r="D298" s="6">
        <v>5864085</v>
      </c>
      <c r="E298" s="7">
        <f>VLOOKUP(A298,Лист2!$A$2:$E$505,3)</f>
        <v>10</v>
      </c>
      <c r="F298" s="7">
        <f>VLOOKUP(A298,Лист2!$A$2:$E$505,4)</f>
        <v>677</v>
      </c>
      <c r="G298" s="7">
        <f>VLOOKUP(A298,Лист2!$A$2:$E$505,5)</f>
        <v>591</v>
      </c>
      <c r="H298">
        <f>D298/E298</f>
        <v>586408.5</v>
      </c>
      <c r="I298">
        <f>WEEKNUM(A298)</f>
        <v>21</v>
      </c>
    </row>
    <row r="299" spans="1:9" ht="14.25" customHeight="1" x14ac:dyDescent="0.3">
      <c r="A299" s="8">
        <v>43971</v>
      </c>
      <c r="B299" s="9" t="s">
        <v>16</v>
      </c>
      <c r="C299" s="9">
        <v>99631.5</v>
      </c>
      <c r="D299" s="9">
        <v>7121946</v>
      </c>
      <c r="E299" s="7">
        <f>VLOOKUP(A299,Лист2!$A$2:$E$505,3)</f>
        <v>10</v>
      </c>
      <c r="F299" s="7">
        <f>VLOOKUP(A299,Лист2!$A$2:$E$505,4)</f>
        <v>745</v>
      </c>
      <c r="G299" s="7">
        <f>VLOOKUP(A299,Лист2!$A$2:$E$505,5)</f>
        <v>654</v>
      </c>
      <c r="H299">
        <f>D299/E299</f>
        <v>712194.6</v>
      </c>
      <c r="I299">
        <f>WEEKNUM(A299)</f>
        <v>21</v>
      </c>
    </row>
    <row r="300" spans="1:9" ht="14.25" customHeight="1" x14ac:dyDescent="0.3">
      <c r="A300" s="17">
        <v>43974</v>
      </c>
      <c r="B300" s="19" t="s">
        <v>16</v>
      </c>
      <c r="C300" s="19">
        <v>89556</v>
      </c>
      <c r="D300" s="19">
        <v>7173117</v>
      </c>
      <c r="E300" s="7">
        <f>VLOOKUP(A300,Лист2!$A$2:$E$505,3)</f>
        <v>10</v>
      </c>
      <c r="F300" s="7">
        <f>VLOOKUP(A300,Лист2!$A$2:$E$505,4)</f>
        <v>828</v>
      </c>
      <c r="G300" s="7">
        <f>VLOOKUP(A300,Лист2!$A$2:$E$505,5)</f>
        <v>734</v>
      </c>
      <c r="H300">
        <f>D300/E300</f>
        <v>717311.7</v>
      </c>
      <c r="I300">
        <f>WEEKNUM(A300)</f>
        <v>21</v>
      </c>
    </row>
    <row r="301" spans="1:9" ht="14.25" customHeight="1" x14ac:dyDescent="0.3">
      <c r="A301" s="18">
        <v>43970</v>
      </c>
      <c r="B301" s="20" t="s">
        <v>17</v>
      </c>
      <c r="C301" s="20">
        <v>38250</v>
      </c>
      <c r="D301" s="20">
        <v>3552937.5</v>
      </c>
      <c r="E301" s="7">
        <f>VLOOKUP(A301,Лист2!$A$2:$E$505,3)</f>
        <v>10</v>
      </c>
      <c r="F301" s="7">
        <f>VLOOKUP(A301,Лист2!$A$2:$E$505,4)</f>
        <v>649</v>
      </c>
      <c r="G301" s="7">
        <f>VLOOKUP(A301,Лист2!$A$2:$E$505,5)</f>
        <v>568</v>
      </c>
      <c r="H301">
        <f>D301/E301</f>
        <v>355293.75</v>
      </c>
      <c r="I301">
        <f>WEEKNUM(A301)</f>
        <v>21</v>
      </c>
    </row>
    <row r="302" spans="1:9" ht="14.25" customHeight="1" x14ac:dyDescent="0.3">
      <c r="A302" s="17">
        <v>43968</v>
      </c>
      <c r="B302" s="19" t="s">
        <v>17</v>
      </c>
      <c r="C302" s="19">
        <v>34830</v>
      </c>
      <c r="D302" s="19">
        <v>3191155.5</v>
      </c>
      <c r="E302" s="7">
        <f>VLOOKUP(A302,Лист2!$A$2:$E$505,3)</f>
        <v>10</v>
      </c>
      <c r="F302" s="7">
        <f>VLOOKUP(A302,Лист2!$A$2:$E$505,4)</f>
        <v>591</v>
      </c>
      <c r="G302" s="7">
        <f>VLOOKUP(A302,Лист2!$A$2:$E$505,5)</f>
        <v>513</v>
      </c>
      <c r="H302">
        <f>D302/E302</f>
        <v>319115.55</v>
      </c>
      <c r="I302">
        <f>WEEKNUM(A302)</f>
        <v>21</v>
      </c>
    </row>
    <row r="303" spans="1:9" ht="14.25" customHeight="1" x14ac:dyDescent="0.3">
      <c r="A303" s="8">
        <v>43972</v>
      </c>
      <c r="B303" s="9" t="s">
        <v>17</v>
      </c>
      <c r="C303" s="9">
        <v>40819.5</v>
      </c>
      <c r="D303" s="9">
        <v>3810394.5</v>
      </c>
      <c r="E303" s="7">
        <f>VLOOKUP(A303,Лист2!$A$2:$E$505,3)</f>
        <v>10</v>
      </c>
      <c r="F303" s="7">
        <f>VLOOKUP(A303,Лист2!$A$2:$E$505,4)</f>
        <v>677</v>
      </c>
      <c r="G303" s="7">
        <f>VLOOKUP(A303,Лист2!$A$2:$E$505,5)</f>
        <v>591</v>
      </c>
      <c r="H303">
        <f>D303/E303</f>
        <v>381039.45</v>
      </c>
      <c r="I303">
        <f>WEEKNUM(A303)</f>
        <v>21</v>
      </c>
    </row>
    <row r="304" spans="1:9" ht="14.25" customHeight="1" x14ac:dyDescent="0.3">
      <c r="A304" s="5">
        <v>43971</v>
      </c>
      <c r="B304" s="6" t="s">
        <v>17</v>
      </c>
      <c r="C304" s="6">
        <v>41391</v>
      </c>
      <c r="D304" s="6">
        <v>3918987</v>
      </c>
      <c r="E304" s="7">
        <f>VLOOKUP(A304,Лист2!$A$2:$E$505,3)</f>
        <v>10</v>
      </c>
      <c r="F304" s="7">
        <f>VLOOKUP(A304,Лист2!$A$2:$E$505,4)</f>
        <v>745</v>
      </c>
      <c r="G304" s="7">
        <f>VLOOKUP(A304,Лист2!$A$2:$E$505,5)</f>
        <v>654</v>
      </c>
      <c r="H304">
        <f>D304/E304</f>
        <v>391898.7</v>
      </c>
      <c r="I304">
        <f>WEEKNUM(A304)</f>
        <v>21</v>
      </c>
    </row>
    <row r="305" spans="1:9" ht="14.25" customHeight="1" x14ac:dyDescent="0.3">
      <c r="A305" s="18">
        <v>43974</v>
      </c>
      <c r="B305" s="20" t="s">
        <v>17</v>
      </c>
      <c r="C305" s="20">
        <v>42999</v>
      </c>
      <c r="D305" s="20">
        <v>3883215</v>
      </c>
      <c r="E305" s="7">
        <f>VLOOKUP(A305,Лист2!$A$2:$E$505,3)</f>
        <v>10</v>
      </c>
      <c r="F305" s="7">
        <f>VLOOKUP(A305,Лист2!$A$2:$E$505,4)</f>
        <v>828</v>
      </c>
      <c r="G305" s="7">
        <f>VLOOKUP(A305,Лист2!$A$2:$E$505,5)</f>
        <v>734</v>
      </c>
      <c r="H305">
        <f>D305/E305</f>
        <v>388321.5</v>
      </c>
      <c r="I305">
        <f>WEEKNUM(A305)</f>
        <v>21</v>
      </c>
    </row>
    <row r="306" spans="1:9" ht="14.25" customHeight="1" x14ac:dyDescent="0.3">
      <c r="A306" s="5">
        <v>43970</v>
      </c>
      <c r="B306" s="6" t="s">
        <v>18</v>
      </c>
      <c r="C306" s="6">
        <v>16638</v>
      </c>
      <c r="D306" s="6">
        <v>1364847</v>
      </c>
      <c r="E306" s="7">
        <f>VLOOKUP(A306,Лист2!$A$2:$E$505,3)</f>
        <v>10</v>
      </c>
      <c r="F306" s="7">
        <f>VLOOKUP(A306,Лист2!$A$2:$E$505,4)</f>
        <v>649</v>
      </c>
      <c r="G306" s="7">
        <f>VLOOKUP(A306,Лист2!$A$2:$E$505,5)</f>
        <v>568</v>
      </c>
      <c r="H306">
        <f>D306/E306</f>
        <v>136484.70000000001</v>
      </c>
      <c r="I306">
        <f>WEEKNUM(A306)</f>
        <v>21</v>
      </c>
    </row>
    <row r="307" spans="1:9" ht="14.25" customHeight="1" x14ac:dyDescent="0.3">
      <c r="A307" s="8">
        <v>43968</v>
      </c>
      <c r="B307" s="9" t="s">
        <v>18</v>
      </c>
      <c r="C307" s="9">
        <v>15609</v>
      </c>
      <c r="D307" s="9">
        <v>1377577.5</v>
      </c>
      <c r="E307" s="7">
        <f>VLOOKUP(A307,Лист2!$A$2:$E$505,3)</f>
        <v>10</v>
      </c>
      <c r="F307" s="7">
        <f>VLOOKUP(A307,Лист2!$A$2:$E$505,4)</f>
        <v>591</v>
      </c>
      <c r="G307" s="7">
        <f>VLOOKUP(A307,Лист2!$A$2:$E$505,5)</f>
        <v>513</v>
      </c>
      <c r="H307">
        <f>D307/E307</f>
        <v>137757.75</v>
      </c>
      <c r="I307">
        <f>WEEKNUM(A307)</f>
        <v>21</v>
      </c>
    </row>
    <row r="308" spans="1:9" ht="14.25" customHeight="1" x14ac:dyDescent="0.3">
      <c r="A308" s="17">
        <v>43972</v>
      </c>
      <c r="B308" s="19" t="s">
        <v>18</v>
      </c>
      <c r="C308" s="19">
        <v>16554</v>
      </c>
      <c r="D308" s="19">
        <v>1380751.5</v>
      </c>
      <c r="E308" s="7">
        <f>VLOOKUP(A308,Лист2!$A$2:$E$505,3)</f>
        <v>10</v>
      </c>
      <c r="F308" s="7">
        <f>VLOOKUP(A308,Лист2!$A$2:$E$505,4)</f>
        <v>677</v>
      </c>
      <c r="G308" s="7">
        <f>VLOOKUP(A308,Лист2!$A$2:$E$505,5)</f>
        <v>591</v>
      </c>
      <c r="H308">
        <f>D308/E308</f>
        <v>138075.15</v>
      </c>
      <c r="I308">
        <f>WEEKNUM(A308)</f>
        <v>21</v>
      </c>
    </row>
    <row r="309" spans="1:9" ht="14.25" customHeight="1" x14ac:dyDescent="0.3">
      <c r="A309" s="18">
        <v>43971</v>
      </c>
      <c r="B309" s="20" t="s">
        <v>18</v>
      </c>
      <c r="C309" s="20">
        <v>17329.5</v>
      </c>
      <c r="D309" s="20">
        <v>1430254.5</v>
      </c>
      <c r="E309" s="7">
        <f>VLOOKUP(A309,Лист2!$A$2:$E$505,3)</f>
        <v>10</v>
      </c>
      <c r="F309" s="7">
        <f>VLOOKUP(A309,Лист2!$A$2:$E$505,4)</f>
        <v>745</v>
      </c>
      <c r="G309" s="7">
        <f>VLOOKUP(A309,Лист2!$A$2:$E$505,5)</f>
        <v>654</v>
      </c>
      <c r="H309">
        <f>D309/E309</f>
        <v>143025.45000000001</v>
      </c>
      <c r="I309">
        <f>WEEKNUM(A309)</f>
        <v>21</v>
      </c>
    </row>
    <row r="310" spans="1:9" ht="14.25" customHeight="1" x14ac:dyDescent="0.3">
      <c r="A310" s="5">
        <v>43974</v>
      </c>
      <c r="B310" s="6" t="s">
        <v>18</v>
      </c>
      <c r="C310" s="6">
        <v>21958.5</v>
      </c>
      <c r="D310" s="6">
        <v>1854001.5</v>
      </c>
      <c r="E310" s="7">
        <f>VLOOKUP(A310,Лист2!$A$2:$E$505,3)</f>
        <v>10</v>
      </c>
      <c r="F310" s="7">
        <f>VLOOKUP(A310,Лист2!$A$2:$E$505,4)</f>
        <v>828</v>
      </c>
      <c r="G310" s="7">
        <f>VLOOKUP(A310,Лист2!$A$2:$E$505,5)</f>
        <v>734</v>
      </c>
      <c r="H310">
        <f>D310/E310</f>
        <v>185400.15</v>
      </c>
      <c r="I310">
        <f>WEEKNUM(A310)</f>
        <v>21</v>
      </c>
    </row>
    <row r="311" spans="1:9" ht="14.25" customHeight="1" x14ac:dyDescent="0.3">
      <c r="A311" s="18">
        <v>43970</v>
      </c>
      <c r="B311" s="20" t="s">
        <v>19</v>
      </c>
      <c r="C311" s="20">
        <v>16237.5</v>
      </c>
      <c r="D311" s="20">
        <v>1403047.5</v>
      </c>
      <c r="E311" s="7">
        <f>VLOOKUP(A311,Лист2!$A$2:$E$505,3)</f>
        <v>10</v>
      </c>
      <c r="F311" s="7">
        <f>VLOOKUP(A311,Лист2!$A$2:$E$505,4)</f>
        <v>649</v>
      </c>
      <c r="G311" s="7">
        <f>VLOOKUP(A311,Лист2!$A$2:$E$505,5)</f>
        <v>568</v>
      </c>
      <c r="H311">
        <f>D311/E311</f>
        <v>140304.75</v>
      </c>
      <c r="I311">
        <f>WEEKNUM(A311)</f>
        <v>21</v>
      </c>
    </row>
    <row r="312" spans="1:9" ht="14.25" customHeight="1" x14ac:dyDescent="0.3">
      <c r="A312" s="17">
        <v>43968</v>
      </c>
      <c r="B312" s="19" t="s">
        <v>19</v>
      </c>
      <c r="C312" s="19">
        <v>11967</v>
      </c>
      <c r="D312" s="19">
        <v>1060489.5</v>
      </c>
      <c r="E312" s="7">
        <f>VLOOKUP(A312,Лист2!$A$2:$E$505,3)</f>
        <v>10</v>
      </c>
      <c r="F312" s="7">
        <f>VLOOKUP(A312,Лист2!$A$2:$E$505,4)</f>
        <v>591</v>
      </c>
      <c r="G312" s="7">
        <f>VLOOKUP(A312,Лист2!$A$2:$E$505,5)</f>
        <v>513</v>
      </c>
      <c r="H312">
        <f>D312/E312</f>
        <v>106048.95</v>
      </c>
      <c r="I312">
        <f>WEEKNUM(A312)</f>
        <v>21</v>
      </c>
    </row>
    <row r="313" spans="1:9" ht="14.25" customHeight="1" x14ac:dyDescent="0.3">
      <c r="A313" s="8">
        <v>43972</v>
      </c>
      <c r="B313" s="9" t="s">
        <v>19</v>
      </c>
      <c r="C313" s="9">
        <v>12135</v>
      </c>
      <c r="D313" s="9">
        <v>1103623.5</v>
      </c>
      <c r="E313" s="7">
        <f>VLOOKUP(A313,Лист2!$A$2:$E$505,3)</f>
        <v>10</v>
      </c>
      <c r="F313" s="7">
        <f>VLOOKUP(A313,Лист2!$A$2:$E$505,4)</f>
        <v>677</v>
      </c>
      <c r="G313" s="7">
        <f>VLOOKUP(A313,Лист2!$A$2:$E$505,5)</f>
        <v>591</v>
      </c>
      <c r="H313">
        <f>D313/E313</f>
        <v>110362.35</v>
      </c>
      <c r="I313">
        <f>WEEKNUM(A313)</f>
        <v>21</v>
      </c>
    </row>
    <row r="314" spans="1:9" ht="14.25" customHeight="1" x14ac:dyDescent="0.3">
      <c r="A314" s="5">
        <v>43971</v>
      </c>
      <c r="B314" s="6" t="s">
        <v>19</v>
      </c>
      <c r="C314" s="6">
        <v>12630</v>
      </c>
      <c r="D314" s="6">
        <v>1104858</v>
      </c>
      <c r="E314" s="7">
        <f>VLOOKUP(A314,Лист2!$A$2:$E$505,3)</f>
        <v>10</v>
      </c>
      <c r="F314" s="7">
        <f>VLOOKUP(A314,Лист2!$A$2:$E$505,4)</f>
        <v>745</v>
      </c>
      <c r="G314" s="7">
        <f>VLOOKUP(A314,Лист2!$A$2:$E$505,5)</f>
        <v>654</v>
      </c>
      <c r="H314">
        <f>D314/E314</f>
        <v>110485.8</v>
      </c>
      <c r="I314">
        <f>WEEKNUM(A314)</f>
        <v>21</v>
      </c>
    </row>
    <row r="315" spans="1:9" ht="14.25" customHeight="1" x14ac:dyDescent="0.3">
      <c r="A315" s="18">
        <v>43974</v>
      </c>
      <c r="B315" s="20" t="s">
        <v>19</v>
      </c>
      <c r="C315" s="20">
        <v>14167.5</v>
      </c>
      <c r="D315" s="20">
        <v>1315075.5</v>
      </c>
      <c r="E315" s="7">
        <f>VLOOKUP(A315,Лист2!$A$2:$E$505,3)</f>
        <v>10</v>
      </c>
      <c r="F315" s="7">
        <f>VLOOKUP(A315,Лист2!$A$2:$E$505,4)</f>
        <v>828</v>
      </c>
      <c r="G315" s="7">
        <f>VLOOKUP(A315,Лист2!$A$2:$E$505,5)</f>
        <v>734</v>
      </c>
      <c r="H315">
        <f>D315/E315</f>
        <v>131507.54999999999</v>
      </c>
      <c r="I315">
        <f>WEEKNUM(A315)</f>
        <v>21</v>
      </c>
    </row>
    <row r="316" spans="1:9" ht="14.25" customHeight="1" x14ac:dyDescent="0.3">
      <c r="A316" s="17">
        <v>43970</v>
      </c>
      <c r="B316" s="19" t="s">
        <v>20</v>
      </c>
      <c r="C316" s="19">
        <v>28882.5</v>
      </c>
      <c r="D316" s="19">
        <v>2446530</v>
      </c>
      <c r="E316" s="7">
        <f>VLOOKUP(A316,Лист2!$A$2:$E$505,3)</f>
        <v>10</v>
      </c>
      <c r="F316" s="7">
        <f>VLOOKUP(A316,Лист2!$A$2:$E$505,4)</f>
        <v>649</v>
      </c>
      <c r="G316" s="7">
        <f>VLOOKUP(A316,Лист2!$A$2:$E$505,5)</f>
        <v>568</v>
      </c>
      <c r="H316">
        <f>D316/E316</f>
        <v>244653</v>
      </c>
      <c r="I316">
        <f>WEEKNUM(A316)</f>
        <v>21</v>
      </c>
    </row>
    <row r="317" spans="1:9" ht="14.25" customHeight="1" x14ac:dyDescent="0.3">
      <c r="A317" s="18">
        <v>43968</v>
      </c>
      <c r="B317" s="20" t="s">
        <v>20</v>
      </c>
      <c r="C317" s="20">
        <v>28275</v>
      </c>
      <c r="D317" s="20">
        <v>2435632.5</v>
      </c>
      <c r="E317" s="7">
        <f>VLOOKUP(A317,Лист2!$A$2:$E$505,3)</f>
        <v>10</v>
      </c>
      <c r="F317" s="7">
        <f>VLOOKUP(A317,Лист2!$A$2:$E$505,4)</f>
        <v>591</v>
      </c>
      <c r="G317" s="7">
        <f>VLOOKUP(A317,Лист2!$A$2:$E$505,5)</f>
        <v>513</v>
      </c>
      <c r="H317">
        <f>D317/E317</f>
        <v>243563.25</v>
      </c>
      <c r="I317">
        <f>WEEKNUM(A317)</f>
        <v>21</v>
      </c>
    </row>
    <row r="318" spans="1:9" ht="14.25" customHeight="1" x14ac:dyDescent="0.3">
      <c r="A318" s="17">
        <v>43972</v>
      </c>
      <c r="B318" s="19" t="s">
        <v>20</v>
      </c>
      <c r="C318" s="19">
        <v>25362</v>
      </c>
      <c r="D318" s="19">
        <v>2198935.5</v>
      </c>
      <c r="E318" s="7">
        <f>VLOOKUP(A318,Лист2!$A$2:$E$505,3)</f>
        <v>10</v>
      </c>
      <c r="F318" s="7">
        <f>VLOOKUP(A318,Лист2!$A$2:$E$505,4)</f>
        <v>677</v>
      </c>
      <c r="G318" s="7">
        <f>VLOOKUP(A318,Лист2!$A$2:$E$505,5)</f>
        <v>591</v>
      </c>
      <c r="H318">
        <f>D318/E318</f>
        <v>219893.55</v>
      </c>
      <c r="I318">
        <f>WEEKNUM(A318)</f>
        <v>21</v>
      </c>
    </row>
    <row r="319" spans="1:9" ht="14.25" customHeight="1" x14ac:dyDescent="0.3">
      <c r="A319" s="18">
        <v>43971</v>
      </c>
      <c r="B319" s="20" t="s">
        <v>20</v>
      </c>
      <c r="C319" s="20">
        <v>28849.5</v>
      </c>
      <c r="D319" s="20">
        <v>2520759</v>
      </c>
      <c r="E319" s="7">
        <f>VLOOKUP(A319,Лист2!$A$2:$E$505,3)</f>
        <v>10</v>
      </c>
      <c r="F319" s="7">
        <f>VLOOKUP(A319,Лист2!$A$2:$E$505,4)</f>
        <v>745</v>
      </c>
      <c r="G319" s="7">
        <f>VLOOKUP(A319,Лист2!$A$2:$E$505,5)</f>
        <v>654</v>
      </c>
      <c r="H319">
        <f>D319/E319</f>
        <v>252075.9</v>
      </c>
      <c r="I319">
        <f>WEEKNUM(A319)</f>
        <v>21</v>
      </c>
    </row>
    <row r="320" spans="1:9" ht="14.25" customHeight="1" x14ac:dyDescent="0.3">
      <c r="A320" s="17">
        <v>43974</v>
      </c>
      <c r="B320" s="19" t="s">
        <v>20</v>
      </c>
      <c r="C320" s="19">
        <v>36997.5</v>
      </c>
      <c r="D320" s="19">
        <v>3089140.5</v>
      </c>
      <c r="E320" s="7">
        <f>VLOOKUP(A320,Лист2!$A$2:$E$505,3)</f>
        <v>10</v>
      </c>
      <c r="F320" s="7">
        <f>VLOOKUP(A320,Лист2!$A$2:$E$505,4)</f>
        <v>828</v>
      </c>
      <c r="G320" s="7">
        <f>VLOOKUP(A320,Лист2!$A$2:$E$505,5)</f>
        <v>734</v>
      </c>
      <c r="H320">
        <f>D320/E320</f>
        <v>308914.05</v>
      </c>
      <c r="I320">
        <f>WEEKNUM(A320)</f>
        <v>21</v>
      </c>
    </row>
    <row r="321" spans="1:9" ht="14.25" customHeight="1" x14ac:dyDescent="0.3">
      <c r="A321" s="8">
        <v>43970</v>
      </c>
      <c r="B321" s="9" t="s">
        <v>21</v>
      </c>
      <c r="C321" s="9">
        <v>223597.5</v>
      </c>
      <c r="D321" s="9">
        <v>21945858</v>
      </c>
      <c r="E321" s="7">
        <f>VLOOKUP(A321,Лист2!$A$2:$E$505,3)</f>
        <v>10</v>
      </c>
      <c r="F321" s="7">
        <f>VLOOKUP(A321,Лист2!$A$2:$E$505,4)</f>
        <v>649</v>
      </c>
      <c r="G321" s="7">
        <f>VLOOKUP(A321,Лист2!$A$2:$E$505,5)</f>
        <v>568</v>
      </c>
      <c r="H321">
        <f>D321/E321</f>
        <v>2194585.7999999998</v>
      </c>
      <c r="I321">
        <f>WEEKNUM(A321)</f>
        <v>21</v>
      </c>
    </row>
    <row r="322" spans="1:9" ht="14.25" customHeight="1" x14ac:dyDescent="0.3">
      <c r="A322" s="5">
        <v>43968</v>
      </c>
      <c r="B322" s="6" t="s">
        <v>21</v>
      </c>
      <c r="C322" s="6">
        <v>193363.5</v>
      </c>
      <c r="D322" s="6">
        <v>19546386</v>
      </c>
      <c r="E322" s="7">
        <f>VLOOKUP(A322,Лист2!$A$2:$E$505,3)</f>
        <v>10</v>
      </c>
      <c r="F322" s="7">
        <f>VLOOKUP(A322,Лист2!$A$2:$E$505,4)</f>
        <v>591</v>
      </c>
      <c r="G322" s="7">
        <f>VLOOKUP(A322,Лист2!$A$2:$E$505,5)</f>
        <v>513</v>
      </c>
      <c r="H322">
        <f>D322/E322</f>
        <v>1954638.6</v>
      </c>
      <c r="I322">
        <f>WEEKNUM(A322)</f>
        <v>21</v>
      </c>
    </row>
    <row r="323" spans="1:9" ht="14.25" customHeight="1" x14ac:dyDescent="0.3">
      <c r="A323" s="18">
        <v>43972</v>
      </c>
      <c r="B323" s="20" t="s">
        <v>21</v>
      </c>
      <c r="C323" s="20">
        <v>224233.5</v>
      </c>
      <c r="D323" s="20">
        <v>22253295</v>
      </c>
      <c r="E323" s="7">
        <f>VLOOKUP(A323,Лист2!$A$2:$E$505,3)</f>
        <v>10</v>
      </c>
      <c r="F323" s="7">
        <f>VLOOKUP(A323,Лист2!$A$2:$E$505,4)</f>
        <v>677</v>
      </c>
      <c r="G323" s="7">
        <f>VLOOKUP(A323,Лист2!$A$2:$E$505,5)</f>
        <v>591</v>
      </c>
      <c r="H323">
        <f>D323/E323</f>
        <v>2225329.5</v>
      </c>
      <c r="I323">
        <f>WEEKNUM(A323)</f>
        <v>21</v>
      </c>
    </row>
    <row r="324" spans="1:9" ht="14.25" customHeight="1" x14ac:dyDescent="0.3">
      <c r="A324" s="17">
        <v>43971</v>
      </c>
      <c r="B324" s="19" t="s">
        <v>21</v>
      </c>
      <c r="C324" s="19">
        <v>219622.5</v>
      </c>
      <c r="D324" s="19">
        <v>21959286</v>
      </c>
      <c r="E324" s="7">
        <f>VLOOKUP(A324,Лист2!$A$2:$E$505,3)</f>
        <v>10</v>
      </c>
      <c r="F324" s="7">
        <f>VLOOKUP(A324,Лист2!$A$2:$E$505,4)</f>
        <v>745</v>
      </c>
      <c r="G324" s="7">
        <f>VLOOKUP(A324,Лист2!$A$2:$E$505,5)</f>
        <v>654</v>
      </c>
      <c r="H324">
        <f>D324/E324</f>
        <v>2195928.6</v>
      </c>
      <c r="I324">
        <f>WEEKNUM(A324)</f>
        <v>21</v>
      </c>
    </row>
    <row r="325" spans="1:9" ht="14.25" customHeight="1" x14ac:dyDescent="0.3">
      <c r="A325" s="8">
        <v>43974</v>
      </c>
      <c r="B325" s="9" t="s">
        <v>21</v>
      </c>
      <c r="C325" s="9">
        <v>292018.5</v>
      </c>
      <c r="D325" s="9">
        <v>28590910.5</v>
      </c>
      <c r="E325" s="7">
        <f>VLOOKUP(A325,Лист2!$A$2:$E$505,3)</f>
        <v>10</v>
      </c>
      <c r="F325" s="7">
        <f>VLOOKUP(A325,Лист2!$A$2:$E$505,4)</f>
        <v>828</v>
      </c>
      <c r="G325" s="7">
        <f>VLOOKUP(A325,Лист2!$A$2:$E$505,5)</f>
        <v>734</v>
      </c>
      <c r="H325">
        <f>D325/E325</f>
        <v>2859091.05</v>
      </c>
      <c r="I325">
        <f>WEEKNUM(A325)</f>
        <v>21</v>
      </c>
    </row>
    <row r="326" spans="1:9" ht="14.25" customHeight="1" x14ac:dyDescent="0.3">
      <c r="A326" s="17">
        <v>43970</v>
      </c>
      <c r="B326" s="19" t="s">
        <v>22</v>
      </c>
      <c r="C326" s="19">
        <v>211453.5</v>
      </c>
      <c r="D326" s="19">
        <v>20590072.5</v>
      </c>
      <c r="E326" s="7">
        <f>VLOOKUP(A326,Лист2!$A$2:$E$505,3)</f>
        <v>10</v>
      </c>
      <c r="F326" s="7">
        <f>VLOOKUP(A326,Лист2!$A$2:$E$505,4)</f>
        <v>649</v>
      </c>
      <c r="G326" s="7">
        <f>VLOOKUP(A326,Лист2!$A$2:$E$505,5)</f>
        <v>568</v>
      </c>
      <c r="H326">
        <f>D326/E326</f>
        <v>2059007.25</v>
      </c>
      <c r="I326">
        <f>WEEKNUM(A326)</f>
        <v>21</v>
      </c>
    </row>
    <row r="327" spans="1:9" ht="14.25" customHeight="1" x14ac:dyDescent="0.3">
      <c r="A327" s="18">
        <v>43968</v>
      </c>
      <c r="B327" s="20" t="s">
        <v>22</v>
      </c>
      <c r="C327" s="20">
        <v>184801.5</v>
      </c>
      <c r="D327" s="20">
        <v>18449091</v>
      </c>
      <c r="E327" s="7">
        <f>VLOOKUP(A327,Лист2!$A$2:$E$505,3)</f>
        <v>10</v>
      </c>
      <c r="F327" s="7">
        <f>VLOOKUP(A327,Лист2!$A$2:$E$505,4)</f>
        <v>591</v>
      </c>
      <c r="G327" s="7">
        <f>VLOOKUP(A327,Лист2!$A$2:$E$505,5)</f>
        <v>513</v>
      </c>
      <c r="H327">
        <f>D327/E327</f>
        <v>1844909.1</v>
      </c>
      <c r="I327">
        <f>WEEKNUM(A327)</f>
        <v>21</v>
      </c>
    </row>
    <row r="328" spans="1:9" ht="14.25" customHeight="1" x14ac:dyDescent="0.3">
      <c r="A328" s="17">
        <v>43972</v>
      </c>
      <c r="B328" s="19" t="s">
        <v>22</v>
      </c>
      <c r="C328" s="19">
        <v>213640.5</v>
      </c>
      <c r="D328" s="19">
        <v>21042673.5</v>
      </c>
      <c r="E328" s="7">
        <f>VLOOKUP(A328,Лист2!$A$2:$E$505,3)</f>
        <v>10</v>
      </c>
      <c r="F328" s="7">
        <f>VLOOKUP(A328,Лист2!$A$2:$E$505,4)</f>
        <v>677</v>
      </c>
      <c r="G328" s="7">
        <f>VLOOKUP(A328,Лист2!$A$2:$E$505,5)</f>
        <v>591</v>
      </c>
      <c r="H328">
        <f>D328/E328</f>
        <v>2104267.35</v>
      </c>
      <c r="I328">
        <f>WEEKNUM(A328)</f>
        <v>21</v>
      </c>
    </row>
    <row r="329" spans="1:9" ht="14.25" customHeight="1" x14ac:dyDescent="0.3">
      <c r="A329" s="18">
        <v>43971</v>
      </c>
      <c r="B329" s="20" t="s">
        <v>22</v>
      </c>
      <c r="C329" s="20">
        <v>214885.5</v>
      </c>
      <c r="D329" s="20">
        <v>21411349.5</v>
      </c>
      <c r="E329" s="7">
        <f>VLOOKUP(A329,Лист2!$A$2:$E$505,3)</f>
        <v>10</v>
      </c>
      <c r="F329" s="7">
        <f>VLOOKUP(A329,Лист2!$A$2:$E$505,4)</f>
        <v>745</v>
      </c>
      <c r="G329" s="7">
        <f>VLOOKUP(A329,Лист2!$A$2:$E$505,5)</f>
        <v>654</v>
      </c>
      <c r="H329">
        <f>D329/E329</f>
        <v>2141134.9500000002</v>
      </c>
      <c r="I329">
        <f>WEEKNUM(A329)</f>
        <v>21</v>
      </c>
    </row>
    <row r="330" spans="1:9" ht="14.25" customHeight="1" x14ac:dyDescent="0.3">
      <c r="A330" s="17">
        <v>43974</v>
      </c>
      <c r="B330" s="19" t="s">
        <v>22</v>
      </c>
      <c r="C330" s="19">
        <v>275793</v>
      </c>
      <c r="D330" s="19">
        <v>26806626</v>
      </c>
      <c r="E330" s="7">
        <f>VLOOKUP(A330,Лист2!$A$2:$E$505,3)</f>
        <v>10</v>
      </c>
      <c r="F330" s="7">
        <f>VLOOKUP(A330,Лист2!$A$2:$E$505,4)</f>
        <v>828</v>
      </c>
      <c r="G330" s="7">
        <f>VLOOKUP(A330,Лист2!$A$2:$E$505,5)</f>
        <v>734</v>
      </c>
      <c r="H330">
        <f>D330/E330</f>
        <v>2680662.6</v>
      </c>
      <c r="I330">
        <f>WEEKNUM(A330)</f>
        <v>21</v>
      </c>
    </row>
    <row r="331" spans="1:9" ht="14.25" customHeight="1" x14ac:dyDescent="0.3">
      <c r="A331" s="8">
        <v>43970</v>
      </c>
      <c r="B331" s="9" t="s">
        <v>23</v>
      </c>
      <c r="C331" s="9">
        <v>14427</v>
      </c>
      <c r="D331" s="9">
        <v>1126810.5</v>
      </c>
      <c r="E331" s="7">
        <f>VLOOKUP(A331,Лист2!$A$2:$E$505,3)</f>
        <v>10</v>
      </c>
      <c r="F331" s="7">
        <f>VLOOKUP(A331,Лист2!$A$2:$E$505,4)</f>
        <v>649</v>
      </c>
      <c r="G331" s="7">
        <f>VLOOKUP(A331,Лист2!$A$2:$E$505,5)</f>
        <v>568</v>
      </c>
      <c r="H331">
        <f>D331/E331</f>
        <v>112681.05</v>
      </c>
      <c r="I331">
        <f>WEEKNUM(A331)</f>
        <v>21</v>
      </c>
    </row>
    <row r="332" spans="1:9" ht="14.25" customHeight="1" x14ac:dyDescent="0.3">
      <c r="A332" s="5">
        <v>43968</v>
      </c>
      <c r="B332" s="6" t="s">
        <v>23</v>
      </c>
      <c r="C332" s="6">
        <v>13440</v>
      </c>
      <c r="D332" s="6">
        <v>1157529</v>
      </c>
      <c r="E332" s="7">
        <f>VLOOKUP(A332,Лист2!$A$2:$E$505,3)</f>
        <v>10</v>
      </c>
      <c r="F332" s="7">
        <f>VLOOKUP(A332,Лист2!$A$2:$E$505,4)</f>
        <v>591</v>
      </c>
      <c r="G332" s="7">
        <f>VLOOKUP(A332,Лист2!$A$2:$E$505,5)</f>
        <v>513</v>
      </c>
      <c r="H332">
        <f>D332/E332</f>
        <v>115752.9</v>
      </c>
      <c r="I332">
        <f>WEEKNUM(A332)</f>
        <v>21</v>
      </c>
    </row>
    <row r="333" spans="1:9" ht="14.25" customHeight="1" x14ac:dyDescent="0.3">
      <c r="A333" s="8">
        <v>43972</v>
      </c>
      <c r="B333" s="9" t="s">
        <v>23</v>
      </c>
      <c r="C333" s="9">
        <v>14182.5</v>
      </c>
      <c r="D333" s="9">
        <v>1172574</v>
      </c>
      <c r="E333" s="7">
        <f>VLOOKUP(A333,Лист2!$A$2:$E$505,3)</f>
        <v>10</v>
      </c>
      <c r="F333" s="7">
        <f>VLOOKUP(A333,Лист2!$A$2:$E$505,4)</f>
        <v>677</v>
      </c>
      <c r="G333" s="7">
        <f>VLOOKUP(A333,Лист2!$A$2:$E$505,5)</f>
        <v>591</v>
      </c>
      <c r="H333">
        <f>D333/E333</f>
        <v>117257.4</v>
      </c>
      <c r="I333">
        <f>WEEKNUM(A333)</f>
        <v>21</v>
      </c>
    </row>
    <row r="334" spans="1:9" ht="14.25" customHeight="1" x14ac:dyDescent="0.3">
      <c r="A334" s="5">
        <v>43971</v>
      </c>
      <c r="B334" s="6" t="s">
        <v>23</v>
      </c>
      <c r="C334" s="6">
        <v>14928</v>
      </c>
      <c r="D334" s="6">
        <v>1217749.5</v>
      </c>
      <c r="E334" s="7">
        <f>VLOOKUP(A334,Лист2!$A$2:$E$505,3)</f>
        <v>10</v>
      </c>
      <c r="F334" s="7">
        <f>VLOOKUP(A334,Лист2!$A$2:$E$505,4)</f>
        <v>745</v>
      </c>
      <c r="G334" s="7">
        <f>VLOOKUP(A334,Лист2!$A$2:$E$505,5)</f>
        <v>654</v>
      </c>
      <c r="H334">
        <f>D334/E334</f>
        <v>121774.95</v>
      </c>
      <c r="I334">
        <f>WEEKNUM(A334)</f>
        <v>21</v>
      </c>
    </row>
    <row r="335" spans="1:9" ht="14.25" customHeight="1" x14ac:dyDescent="0.3">
      <c r="A335" s="8">
        <v>43974</v>
      </c>
      <c r="B335" s="9" t="s">
        <v>23</v>
      </c>
      <c r="C335" s="9">
        <v>17943</v>
      </c>
      <c r="D335" s="9">
        <v>1457391</v>
      </c>
      <c r="E335" s="7">
        <f>VLOOKUP(A335,Лист2!$A$2:$E$505,3)</f>
        <v>10</v>
      </c>
      <c r="F335" s="7">
        <f>VLOOKUP(A335,Лист2!$A$2:$E$505,4)</f>
        <v>828</v>
      </c>
      <c r="G335" s="7">
        <f>VLOOKUP(A335,Лист2!$A$2:$E$505,5)</f>
        <v>734</v>
      </c>
      <c r="H335">
        <f>D335/E335</f>
        <v>145739.1</v>
      </c>
      <c r="I335">
        <f>WEEKNUM(A335)</f>
        <v>21</v>
      </c>
    </row>
    <row r="336" spans="1:9" ht="14.25" customHeight="1" x14ac:dyDescent="0.3">
      <c r="A336" s="17">
        <v>43973</v>
      </c>
      <c r="B336" s="19" t="s">
        <v>10</v>
      </c>
      <c r="C336" s="19">
        <v>36031.5</v>
      </c>
      <c r="D336" s="19">
        <v>3091069.5</v>
      </c>
      <c r="E336" s="7">
        <f>VLOOKUP(A336,Лист2!$A$2:$E$505,3)</f>
        <v>10</v>
      </c>
      <c r="F336" s="7">
        <f>VLOOKUP(A336,Лист2!$A$2:$E$505,4)</f>
        <v>965</v>
      </c>
      <c r="G336" s="7">
        <f>VLOOKUP(A336,Лист2!$A$2:$E$505,5)</f>
        <v>861</v>
      </c>
      <c r="H336">
        <f>D336/E336</f>
        <v>309106.95</v>
      </c>
      <c r="I336">
        <f>WEEKNUM(A336)</f>
        <v>21</v>
      </c>
    </row>
    <row r="337" spans="1:9" ht="14.25" customHeight="1" x14ac:dyDescent="0.3">
      <c r="A337" s="18">
        <v>43969</v>
      </c>
      <c r="B337" s="20" t="s">
        <v>10</v>
      </c>
      <c r="C337" s="20">
        <v>31329</v>
      </c>
      <c r="D337" s="20">
        <v>2826379.5</v>
      </c>
      <c r="E337" s="7">
        <f>VLOOKUP(A337,Лист2!$A$2:$E$505,3)</f>
        <v>10</v>
      </c>
      <c r="F337" s="7">
        <f>VLOOKUP(A337,Лист2!$A$2:$E$505,4)</f>
        <v>645</v>
      </c>
      <c r="G337" s="7">
        <f>VLOOKUP(A337,Лист2!$A$2:$E$505,5)</f>
        <v>565</v>
      </c>
      <c r="H337">
        <f>D337/E337</f>
        <v>282637.95</v>
      </c>
      <c r="I337">
        <f>WEEKNUM(A337)</f>
        <v>21</v>
      </c>
    </row>
    <row r="338" spans="1:9" ht="14.25" customHeight="1" x14ac:dyDescent="0.3">
      <c r="A338" s="17">
        <v>43973</v>
      </c>
      <c r="B338" s="19" t="s">
        <v>11</v>
      </c>
      <c r="C338" s="19">
        <v>97963.5</v>
      </c>
      <c r="D338" s="19">
        <v>7728465</v>
      </c>
      <c r="E338" s="7">
        <f>VLOOKUP(A338,Лист2!$A$2:$E$505,3)</f>
        <v>10</v>
      </c>
      <c r="F338" s="7">
        <f>VLOOKUP(A338,Лист2!$A$2:$E$505,4)</f>
        <v>965</v>
      </c>
      <c r="G338" s="7">
        <f>VLOOKUP(A338,Лист2!$A$2:$E$505,5)</f>
        <v>861</v>
      </c>
      <c r="H338">
        <f>D338/E338</f>
        <v>772846.5</v>
      </c>
      <c r="I338">
        <f>WEEKNUM(A338)</f>
        <v>21</v>
      </c>
    </row>
    <row r="339" spans="1:9" ht="14.25" customHeight="1" x14ac:dyDescent="0.3">
      <c r="A339" s="8">
        <v>43969</v>
      </c>
      <c r="B339" s="9" t="s">
        <v>11</v>
      </c>
      <c r="C339" s="9">
        <v>78058.5</v>
      </c>
      <c r="D339" s="9">
        <v>6609714</v>
      </c>
      <c r="E339" s="7">
        <f>VLOOKUP(A339,Лист2!$A$2:$E$505,3)</f>
        <v>10</v>
      </c>
      <c r="F339" s="7">
        <f>VLOOKUP(A339,Лист2!$A$2:$E$505,4)</f>
        <v>645</v>
      </c>
      <c r="G339" s="7">
        <f>VLOOKUP(A339,Лист2!$A$2:$E$505,5)</f>
        <v>565</v>
      </c>
      <c r="H339">
        <f>D339/E339</f>
        <v>660971.4</v>
      </c>
      <c r="I339">
        <f>WEEKNUM(A339)</f>
        <v>21</v>
      </c>
    </row>
    <row r="340" spans="1:9" ht="14.25" customHeight="1" x14ac:dyDescent="0.3">
      <c r="A340" s="17">
        <v>43973</v>
      </c>
      <c r="B340" s="19" t="s">
        <v>12</v>
      </c>
      <c r="C340" s="19">
        <v>18036</v>
      </c>
      <c r="D340" s="19">
        <v>1455049.5</v>
      </c>
      <c r="E340" s="7">
        <f>VLOOKUP(A340,Лист2!$A$2:$E$505,3)</f>
        <v>10</v>
      </c>
      <c r="F340" s="7">
        <f>VLOOKUP(A340,Лист2!$A$2:$E$505,4)</f>
        <v>965</v>
      </c>
      <c r="G340" s="7">
        <f>VLOOKUP(A340,Лист2!$A$2:$E$505,5)</f>
        <v>861</v>
      </c>
      <c r="H340">
        <f>D340/E340</f>
        <v>145504.95000000001</v>
      </c>
      <c r="I340">
        <f>WEEKNUM(A340)</f>
        <v>21</v>
      </c>
    </row>
    <row r="341" spans="1:9" ht="14.25" customHeight="1" x14ac:dyDescent="0.3">
      <c r="A341" s="8">
        <v>43969</v>
      </c>
      <c r="B341" s="9" t="s">
        <v>12</v>
      </c>
      <c r="C341" s="9">
        <v>11680.5</v>
      </c>
      <c r="D341" s="9">
        <v>936427.5</v>
      </c>
      <c r="E341" s="7">
        <f>VLOOKUP(A341,Лист2!$A$2:$E$505,3)</f>
        <v>10</v>
      </c>
      <c r="F341" s="7">
        <f>VLOOKUP(A341,Лист2!$A$2:$E$505,4)</f>
        <v>645</v>
      </c>
      <c r="G341" s="7">
        <f>VLOOKUP(A341,Лист2!$A$2:$E$505,5)</f>
        <v>565</v>
      </c>
      <c r="H341">
        <f>D341/E341</f>
        <v>93642.75</v>
      </c>
      <c r="I341">
        <f>WEEKNUM(A341)</f>
        <v>21</v>
      </c>
    </row>
    <row r="342" spans="1:9" ht="14.25" customHeight="1" x14ac:dyDescent="0.3">
      <c r="A342" s="5">
        <v>43973</v>
      </c>
      <c r="B342" s="6" t="s">
        <v>13</v>
      </c>
      <c r="C342" s="6">
        <v>38074.5</v>
      </c>
      <c r="D342" s="6">
        <v>3414180</v>
      </c>
      <c r="E342" s="7">
        <f>VLOOKUP(A342,Лист2!$A$2:$E$505,3)</f>
        <v>10</v>
      </c>
      <c r="F342" s="7">
        <f>VLOOKUP(A342,Лист2!$A$2:$E$505,4)</f>
        <v>965</v>
      </c>
      <c r="G342" s="7">
        <f>VLOOKUP(A342,Лист2!$A$2:$E$505,5)</f>
        <v>861</v>
      </c>
      <c r="H342">
        <f>D342/E342</f>
        <v>341418</v>
      </c>
      <c r="I342">
        <f>WEEKNUM(A342)</f>
        <v>21</v>
      </c>
    </row>
    <row r="343" spans="1:9" ht="14.25" customHeight="1" x14ac:dyDescent="0.3">
      <c r="A343" s="8">
        <v>43969</v>
      </c>
      <c r="B343" s="9" t="s">
        <v>13</v>
      </c>
      <c r="C343" s="9">
        <v>28668</v>
      </c>
      <c r="D343" s="9">
        <v>2588148</v>
      </c>
      <c r="E343" s="7">
        <f>VLOOKUP(A343,Лист2!$A$2:$E$505,3)</f>
        <v>10</v>
      </c>
      <c r="F343" s="7">
        <f>VLOOKUP(A343,Лист2!$A$2:$E$505,4)</f>
        <v>645</v>
      </c>
      <c r="G343" s="7">
        <f>VLOOKUP(A343,Лист2!$A$2:$E$505,5)</f>
        <v>565</v>
      </c>
      <c r="H343">
        <f>D343/E343</f>
        <v>258814.8</v>
      </c>
      <c r="I343">
        <f>WEEKNUM(A343)</f>
        <v>21</v>
      </c>
    </row>
    <row r="344" spans="1:9" ht="14.25" customHeight="1" x14ac:dyDescent="0.3">
      <c r="A344" s="5">
        <v>43973</v>
      </c>
      <c r="B344" s="6" t="s">
        <v>14</v>
      </c>
      <c r="C344" s="6">
        <v>304092</v>
      </c>
      <c r="D344" s="6">
        <v>29465769</v>
      </c>
      <c r="E344" s="7">
        <f>VLOOKUP(A344,Лист2!$A$2:$E$505,3)</f>
        <v>10</v>
      </c>
      <c r="F344" s="7">
        <f>VLOOKUP(A344,Лист2!$A$2:$E$505,4)</f>
        <v>965</v>
      </c>
      <c r="G344" s="7">
        <f>VLOOKUP(A344,Лист2!$A$2:$E$505,5)</f>
        <v>861</v>
      </c>
      <c r="H344">
        <f>D344/E344</f>
        <v>2946576.9</v>
      </c>
      <c r="I344">
        <f>WEEKNUM(A344)</f>
        <v>21</v>
      </c>
    </row>
    <row r="345" spans="1:9" ht="14.25" customHeight="1" x14ac:dyDescent="0.3">
      <c r="A345" s="8">
        <v>43969</v>
      </c>
      <c r="B345" s="9" t="s">
        <v>14</v>
      </c>
      <c r="C345" s="9">
        <v>273900</v>
      </c>
      <c r="D345" s="9">
        <v>27535284.147600003</v>
      </c>
      <c r="E345" s="7">
        <f>VLOOKUP(A345,Лист2!$A$2:$E$505,3)</f>
        <v>10</v>
      </c>
      <c r="F345" s="7">
        <f>VLOOKUP(A345,Лист2!$A$2:$E$505,4)</f>
        <v>645</v>
      </c>
      <c r="G345" s="7">
        <f>VLOOKUP(A345,Лист2!$A$2:$E$505,5)</f>
        <v>565</v>
      </c>
      <c r="H345">
        <f>D345/E345</f>
        <v>2753528.4147600001</v>
      </c>
      <c r="I345">
        <f>WEEKNUM(A345)</f>
        <v>21</v>
      </c>
    </row>
    <row r="346" spans="1:9" ht="14.25" customHeight="1" x14ac:dyDescent="0.3">
      <c r="A346" s="17">
        <v>43973</v>
      </c>
      <c r="B346" s="19" t="s">
        <v>15</v>
      </c>
      <c r="C346" s="19">
        <v>393018</v>
      </c>
      <c r="D346" s="19">
        <v>39498373.5</v>
      </c>
      <c r="E346" s="7">
        <f>VLOOKUP(A346,Лист2!$A$2:$E$505,3)</f>
        <v>10</v>
      </c>
      <c r="F346" s="7">
        <f>VLOOKUP(A346,Лист2!$A$2:$E$505,4)</f>
        <v>965</v>
      </c>
      <c r="G346" s="7">
        <f>VLOOKUP(A346,Лист2!$A$2:$E$505,5)</f>
        <v>861</v>
      </c>
      <c r="H346">
        <f>D346/E346</f>
        <v>3949837.35</v>
      </c>
      <c r="I346">
        <f>WEEKNUM(A346)</f>
        <v>21</v>
      </c>
    </row>
    <row r="347" spans="1:9" ht="14.25" customHeight="1" x14ac:dyDescent="0.3">
      <c r="A347" s="8">
        <v>43969</v>
      </c>
      <c r="B347" s="9" t="s">
        <v>15</v>
      </c>
      <c r="C347" s="9">
        <v>355081.5</v>
      </c>
      <c r="D347" s="9">
        <v>36876888</v>
      </c>
      <c r="E347" s="7">
        <f>VLOOKUP(A347,Лист2!$A$2:$E$505,3)</f>
        <v>10</v>
      </c>
      <c r="F347" s="7">
        <f>VLOOKUP(A347,Лист2!$A$2:$E$505,4)</f>
        <v>645</v>
      </c>
      <c r="G347" s="7">
        <f>VLOOKUP(A347,Лист2!$A$2:$E$505,5)</f>
        <v>565</v>
      </c>
      <c r="H347">
        <f>D347/E347</f>
        <v>3687688.8</v>
      </c>
      <c r="I347">
        <f>WEEKNUM(A347)</f>
        <v>21</v>
      </c>
    </row>
    <row r="348" spans="1:9" ht="14.25" customHeight="1" x14ac:dyDescent="0.3">
      <c r="A348" s="17">
        <v>43973</v>
      </c>
      <c r="B348" s="19" t="s">
        <v>16</v>
      </c>
      <c r="C348" s="19">
        <v>75820.5</v>
      </c>
      <c r="D348" s="19">
        <v>5943489</v>
      </c>
      <c r="E348" s="7">
        <f>VLOOKUP(A348,Лист2!$A$2:$E$505,3)</f>
        <v>10</v>
      </c>
      <c r="F348" s="7">
        <f>VLOOKUP(A348,Лист2!$A$2:$E$505,4)</f>
        <v>965</v>
      </c>
      <c r="G348" s="7">
        <f>VLOOKUP(A348,Лист2!$A$2:$E$505,5)</f>
        <v>861</v>
      </c>
      <c r="H348">
        <f>D348/E348</f>
        <v>594348.9</v>
      </c>
      <c r="I348">
        <f>WEEKNUM(A348)</f>
        <v>21</v>
      </c>
    </row>
    <row r="349" spans="1:9" ht="14.25" customHeight="1" x14ac:dyDescent="0.3">
      <c r="A349" s="8">
        <v>43969</v>
      </c>
      <c r="B349" s="9" t="s">
        <v>16</v>
      </c>
      <c r="C349" s="9">
        <v>70278</v>
      </c>
      <c r="D349" s="9">
        <v>5798476.5</v>
      </c>
      <c r="E349" s="7">
        <f>VLOOKUP(A349,Лист2!$A$2:$E$505,3)</f>
        <v>10</v>
      </c>
      <c r="F349" s="7">
        <f>VLOOKUP(A349,Лист2!$A$2:$E$505,4)</f>
        <v>645</v>
      </c>
      <c r="G349" s="7">
        <f>VLOOKUP(A349,Лист2!$A$2:$E$505,5)</f>
        <v>565</v>
      </c>
      <c r="H349">
        <f>D349/E349</f>
        <v>579847.65</v>
      </c>
      <c r="I349">
        <f>WEEKNUM(A349)</f>
        <v>21</v>
      </c>
    </row>
    <row r="350" spans="1:9" ht="14.25" customHeight="1" x14ac:dyDescent="0.3">
      <c r="A350" s="17">
        <v>43973</v>
      </c>
      <c r="B350" s="19" t="s">
        <v>17</v>
      </c>
      <c r="C350" s="19">
        <v>53838</v>
      </c>
      <c r="D350" s="19">
        <v>4840833</v>
      </c>
      <c r="E350" s="7">
        <f>VLOOKUP(A350,Лист2!$A$2:$E$505,3)</f>
        <v>10</v>
      </c>
      <c r="F350" s="7">
        <f>VLOOKUP(A350,Лист2!$A$2:$E$505,4)</f>
        <v>965</v>
      </c>
      <c r="G350" s="7">
        <f>VLOOKUP(A350,Лист2!$A$2:$E$505,5)</f>
        <v>861</v>
      </c>
      <c r="H350">
        <f>D350/E350</f>
        <v>484083.3</v>
      </c>
      <c r="I350">
        <f>WEEKNUM(A350)</f>
        <v>21</v>
      </c>
    </row>
    <row r="351" spans="1:9" ht="14.25" customHeight="1" x14ac:dyDescent="0.3">
      <c r="A351" s="8">
        <v>43969</v>
      </c>
      <c r="B351" s="9" t="s">
        <v>17</v>
      </c>
      <c r="C351" s="9">
        <v>36655.5</v>
      </c>
      <c r="D351" s="9">
        <v>3360135</v>
      </c>
      <c r="E351" s="7">
        <f>VLOOKUP(A351,Лист2!$A$2:$E$505,3)</f>
        <v>10</v>
      </c>
      <c r="F351" s="7">
        <f>VLOOKUP(A351,Лист2!$A$2:$E$505,4)</f>
        <v>645</v>
      </c>
      <c r="G351" s="7">
        <f>VLOOKUP(A351,Лист2!$A$2:$E$505,5)</f>
        <v>565</v>
      </c>
      <c r="H351">
        <f>D351/E351</f>
        <v>336013.5</v>
      </c>
      <c r="I351">
        <f>WEEKNUM(A351)</f>
        <v>21</v>
      </c>
    </row>
    <row r="352" spans="1:9" ht="14.25" customHeight="1" x14ac:dyDescent="0.3">
      <c r="A352" s="5">
        <v>43973</v>
      </c>
      <c r="B352" s="6" t="s">
        <v>18</v>
      </c>
      <c r="C352" s="6">
        <v>21483</v>
      </c>
      <c r="D352" s="6">
        <v>1774329</v>
      </c>
      <c r="E352" s="7">
        <f>VLOOKUP(A352,Лист2!$A$2:$E$505,3)</f>
        <v>10</v>
      </c>
      <c r="F352" s="7">
        <f>VLOOKUP(A352,Лист2!$A$2:$E$505,4)</f>
        <v>965</v>
      </c>
      <c r="G352" s="7">
        <f>VLOOKUP(A352,Лист2!$A$2:$E$505,5)</f>
        <v>861</v>
      </c>
      <c r="H352">
        <f>D352/E352</f>
        <v>177432.9</v>
      </c>
      <c r="I352">
        <f>WEEKNUM(A352)</f>
        <v>21</v>
      </c>
    </row>
    <row r="353" spans="1:9" ht="14.25" customHeight="1" x14ac:dyDescent="0.3">
      <c r="A353" s="8">
        <v>43969</v>
      </c>
      <c r="B353" s="9" t="s">
        <v>18</v>
      </c>
      <c r="C353" s="9">
        <v>14290.5</v>
      </c>
      <c r="D353" s="9">
        <v>1246162.5</v>
      </c>
      <c r="E353" s="7">
        <f>VLOOKUP(A353,Лист2!$A$2:$E$505,3)</f>
        <v>10</v>
      </c>
      <c r="F353" s="7">
        <f>VLOOKUP(A353,Лист2!$A$2:$E$505,4)</f>
        <v>645</v>
      </c>
      <c r="G353" s="7">
        <f>VLOOKUP(A353,Лист2!$A$2:$E$505,5)</f>
        <v>565</v>
      </c>
      <c r="H353">
        <f>D353/E353</f>
        <v>124616.25</v>
      </c>
      <c r="I353">
        <f>WEEKNUM(A353)</f>
        <v>21</v>
      </c>
    </row>
    <row r="354" spans="1:9" ht="14.25" customHeight="1" x14ac:dyDescent="0.3">
      <c r="A354" s="17">
        <v>43973</v>
      </c>
      <c r="B354" s="19" t="s">
        <v>19</v>
      </c>
      <c r="C354" s="19">
        <v>15802.5</v>
      </c>
      <c r="D354" s="19">
        <v>1411909.5</v>
      </c>
      <c r="E354" s="7">
        <f>VLOOKUP(A354,Лист2!$A$2:$E$505,3)</f>
        <v>10</v>
      </c>
      <c r="F354" s="7">
        <f>VLOOKUP(A354,Лист2!$A$2:$E$505,4)</f>
        <v>965</v>
      </c>
      <c r="G354" s="7">
        <f>VLOOKUP(A354,Лист2!$A$2:$E$505,5)</f>
        <v>861</v>
      </c>
      <c r="H354">
        <f>D354/E354</f>
        <v>141190.95000000001</v>
      </c>
      <c r="I354">
        <f>WEEKNUM(A354)</f>
        <v>21</v>
      </c>
    </row>
    <row r="355" spans="1:9" ht="14.25" customHeight="1" x14ac:dyDescent="0.3">
      <c r="A355" s="8">
        <v>43969</v>
      </c>
      <c r="B355" s="9" t="s">
        <v>19</v>
      </c>
      <c r="C355" s="9">
        <v>12450</v>
      </c>
      <c r="D355" s="9">
        <v>1115146.5</v>
      </c>
      <c r="E355" s="7">
        <f>VLOOKUP(A355,Лист2!$A$2:$E$505,3)</f>
        <v>10</v>
      </c>
      <c r="F355" s="7">
        <f>VLOOKUP(A355,Лист2!$A$2:$E$505,4)</f>
        <v>645</v>
      </c>
      <c r="G355" s="7">
        <f>VLOOKUP(A355,Лист2!$A$2:$E$505,5)</f>
        <v>565</v>
      </c>
      <c r="H355">
        <f>D355/E355</f>
        <v>111514.65</v>
      </c>
      <c r="I355">
        <f>WEEKNUM(A355)</f>
        <v>21</v>
      </c>
    </row>
    <row r="356" spans="1:9" ht="14.25" customHeight="1" x14ac:dyDescent="0.3">
      <c r="A356" s="17">
        <v>43973</v>
      </c>
      <c r="B356" s="19" t="s">
        <v>20</v>
      </c>
      <c r="C356" s="19">
        <v>30781.5</v>
      </c>
      <c r="D356" s="19">
        <v>2540715</v>
      </c>
      <c r="E356" s="7">
        <f>VLOOKUP(A356,Лист2!$A$2:$E$505,3)</f>
        <v>10</v>
      </c>
      <c r="F356" s="7">
        <f>VLOOKUP(A356,Лист2!$A$2:$E$505,4)</f>
        <v>965</v>
      </c>
      <c r="G356" s="7">
        <f>VLOOKUP(A356,Лист2!$A$2:$E$505,5)</f>
        <v>861</v>
      </c>
      <c r="H356">
        <f>D356/E356</f>
        <v>254071.5</v>
      </c>
      <c r="I356">
        <f>WEEKNUM(A356)</f>
        <v>21</v>
      </c>
    </row>
    <row r="357" spans="1:9" ht="14.25" customHeight="1" x14ac:dyDescent="0.3">
      <c r="A357" s="8">
        <v>43969</v>
      </c>
      <c r="B357" s="9" t="s">
        <v>20</v>
      </c>
      <c r="C357" s="9">
        <v>27181.5</v>
      </c>
      <c r="D357" s="9">
        <v>2324490</v>
      </c>
      <c r="E357" s="7">
        <f>VLOOKUP(A357,Лист2!$A$2:$E$505,3)</f>
        <v>10</v>
      </c>
      <c r="F357" s="7">
        <f>VLOOKUP(A357,Лист2!$A$2:$E$505,4)</f>
        <v>645</v>
      </c>
      <c r="G357" s="7">
        <f>VLOOKUP(A357,Лист2!$A$2:$E$505,5)</f>
        <v>565</v>
      </c>
      <c r="H357">
        <f>D357/E357</f>
        <v>232449</v>
      </c>
      <c r="I357">
        <f>WEEKNUM(A357)</f>
        <v>21</v>
      </c>
    </row>
    <row r="358" spans="1:9" ht="14.25" customHeight="1" x14ac:dyDescent="0.3">
      <c r="A358" s="5">
        <v>43973</v>
      </c>
      <c r="B358" s="6" t="s">
        <v>21</v>
      </c>
      <c r="C358" s="6">
        <v>228334.5</v>
      </c>
      <c r="D358" s="6">
        <v>22380772.5</v>
      </c>
      <c r="E358" s="7">
        <f>VLOOKUP(A358,Лист2!$A$2:$E$505,3)</f>
        <v>10</v>
      </c>
      <c r="F358" s="7">
        <f>VLOOKUP(A358,Лист2!$A$2:$E$505,4)</f>
        <v>965</v>
      </c>
      <c r="G358" s="7">
        <f>VLOOKUP(A358,Лист2!$A$2:$E$505,5)</f>
        <v>861</v>
      </c>
      <c r="H358">
        <f>D358/E358</f>
        <v>2238077.25</v>
      </c>
      <c r="I358">
        <f>WEEKNUM(A358)</f>
        <v>21</v>
      </c>
    </row>
    <row r="359" spans="1:9" ht="14.25" customHeight="1" x14ac:dyDescent="0.3">
      <c r="A359" s="8">
        <v>43969</v>
      </c>
      <c r="B359" s="9" t="s">
        <v>21</v>
      </c>
      <c r="C359" s="9">
        <v>201999</v>
      </c>
      <c r="D359" s="9">
        <v>20422435.5</v>
      </c>
      <c r="E359" s="7">
        <f>VLOOKUP(A359,Лист2!$A$2:$E$505,3)</f>
        <v>10</v>
      </c>
      <c r="F359" s="7">
        <f>VLOOKUP(A359,Лист2!$A$2:$E$505,4)</f>
        <v>645</v>
      </c>
      <c r="G359" s="7">
        <f>VLOOKUP(A359,Лист2!$A$2:$E$505,5)</f>
        <v>565</v>
      </c>
      <c r="H359">
        <f>D359/E359</f>
        <v>2042243.55</v>
      </c>
      <c r="I359">
        <f>WEEKNUM(A359)</f>
        <v>21</v>
      </c>
    </row>
    <row r="360" spans="1:9" ht="14.25" customHeight="1" x14ac:dyDescent="0.3">
      <c r="A360" s="17">
        <v>43973</v>
      </c>
      <c r="B360" s="19" t="s">
        <v>22</v>
      </c>
      <c r="C360" s="19">
        <v>214428</v>
      </c>
      <c r="D360" s="19">
        <v>20812585.5</v>
      </c>
      <c r="E360" s="7">
        <f>VLOOKUP(A360,Лист2!$A$2:$E$505,3)</f>
        <v>10</v>
      </c>
      <c r="F360" s="7">
        <f>VLOOKUP(A360,Лист2!$A$2:$E$505,4)</f>
        <v>965</v>
      </c>
      <c r="G360" s="7">
        <f>VLOOKUP(A360,Лист2!$A$2:$E$505,5)</f>
        <v>861</v>
      </c>
      <c r="H360">
        <f>D360/E360</f>
        <v>2081258.55</v>
      </c>
      <c r="I360">
        <f>WEEKNUM(A360)</f>
        <v>21</v>
      </c>
    </row>
    <row r="361" spans="1:9" ht="14.25" customHeight="1" x14ac:dyDescent="0.3">
      <c r="A361" s="8">
        <v>43969</v>
      </c>
      <c r="B361" s="9" t="s">
        <v>22</v>
      </c>
      <c r="C361" s="9">
        <v>196560</v>
      </c>
      <c r="D361" s="9">
        <v>19855122</v>
      </c>
      <c r="E361" s="7">
        <f>VLOOKUP(A361,Лист2!$A$2:$E$505,3)</f>
        <v>10</v>
      </c>
      <c r="F361" s="7">
        <f>VLOOKUP(A361,Лист2!$A$2:$E$505,4)</f>
        <v>645</v>
      </c>
      <c r="G361" s="7">
        <f>VLOOKUP(A361,Лист2!$A$2:$E$505,5)</f>
        <v>565</v>
      </c>
      <c r="H361">
        <f>D361/E361</f>
        <v>1985512.2</v>
      </c>
      <c r="I361">
        <f>WEEKNUM(A361)</f>
        <v>21</v>
      </c>
    </row>
    <row r="362" spans="1:9" ht="14.25" customHeight="1" x14ac:dyDescent="0.3">
      <c r="A362" s="5">
        <v>43973</v>
      </c>
      <c r="B362" s="6" t="s">
        <v>23</v>
      </c>
      <c r="C362" s="6">
        <v>17008.5</v>
      </c>
      <c r="D362" s="6">
        <v>1398771</v>
      </c>
      <c r="E362" s="7">
        <f>VLOOKUP(A362,Лист2!$A$2:$E$505,3)</f>
        <v>10</v>
      </c>
      <c r="F362" s="7">
        <f>VLOOKUP(A362,Лист2!$A$2:$E$505,4)</f>
        <v>965</v>
      </c>
      <c r="G362" s="7">
        <f>VLOOKUP(A362,Лист2!$A$2:$E$505,5)</f>
        <v>861</v>
      </c>
      <c r="H362">
        <f>D362/E362</f>
        <v>139877.1</v>
      </c>
      <c r="I362">
        <f>WEEKNUM(A362)</f>
        <v>21</v>
      </c>
    </row>
    <row r="363" spans="1:9" ht="14.25" customHeight="1" x14ac:dyDescent="0.3">
      <c r="A363" s="8">
        <v>43969</v>
      </c>
      <c r="B363" s="9" t="s">
        <v>23</v>
      </c>
      <c r="C363" s="9">
        <v>14497.5</v>
      </c>
      <c r="D363" s="9">
        <v>1230711</v>
      </c>
      <c r="E363" s="7">
        <f>VLOOKUP(A363,Лист2!$A$2:$E$505,3)</f>
        <v>10</v>
      </c>
      <c r="F363" s="7">
        <f>VLOOKUP(A363,Лист2!$A$2:$E$505,4)</f>
        <v>645</v>
      </c>
      <c r="G363" s="7">
        <f>VLOOKUP(A363,Лист2!$A$2:$E$505,5)</f>
        <v>565</v>
      </c>
      <c r="H363">
        <f>D363/E363</f>
        <v>123071.1</v>
      </c>
      <c r="I363">
        <f>WEEKNUM(A363)</f>
        <v>21</v>
      </c>
    </row>
    <row r="364" spans="1:9" ht="14.25" customHeight="1" x14ac:dyDescent="0.3">
      <c r="A364" s="17">
        <v>43981</v>
      </c>
      <c r="B364" s="19" t="s">
        <v>9</v>
      </c>
      <c r="C364" s="19">
        <v>10029</v>
      </c>
      <c r="D364" s="19">
        <v>787101</v>
      </c>
      <c r="E364" s="7">
        <f>VLOOKUP(A364,Лист2!$A$2:$E$505,3)</f>
        <v>7</v>
      </c>
      <c r="F364" s="7">
        <f>VLOOKUP(A364,Лист2!$A$2:$E$505,4)</f>
        <v>532</v>
      </c>
      <c r="G364" s="7">
        <f>VLOOKUP(A364,Лист2!$A$2:$E$505,5)</f>
        <v>449</v>
      </c>
      <c r="H364">
        <f>D364/E364</f>
        <v>112443</v>
      </c>
      <c r="I364">
        <f>WEEKNUM(A364)</f>
        <v>22</v>
      </c>
    </row>
    <row r="365" spans="1:9" ht="14.25" customHeight="1" x14ac:dyDescent="0.3">
      <c r="A365" s="18">
        <v>43979</v>
      </c>
      <c r="B365" s="20" t="s">
        <v>9</v>
      </c>
      <c r="C365" s="20">
        <v>8536.5</v>
      </c>
      <c r="D365" s="20">
        <v>643944</v>
      </c>
      <c r="E365" s="7">
        <f>VLOOKUP(A365,Лист2!$A$2:$E$505,3)</f>
        <v>7</v>
      </c>
      <c r="F365" s="7">
        <f>VLOOKUP(A365,Лист2!$A$2:$E$505,4)</f>
        <v>420</v>
      </c>
      <c r="G365" s="7">
        <f>VLOOKUP(A365,Лист2!$A$2:$E$505,5)</f>
        <v>347</v>
      </c>
      <c r="H365">
        <f>D365/E365</f>
        <v>91992</v>
      </c>
      <c r="I365">
        <f>WEEKNUM(A365)</f>
        <v>22</v>
      </c>
    </row>
    <row r="366" spans="1:9" ht="14.25" customHeight="1" x14ac:dyDescent="0.3">
      <c r="A366" s="5">
        <v>43977</v>
      </c>
      <c r="B366" s="6" t="s">
        <v>10</v>
      </c>
      <c r="C366" s="6">
        <v>33423</v>
      </c>
      <c r="D366" s="6">
        <v>2970330</v>
      </c>
      <c r="E366" s="7">
        <f>VLOOKUP(A366,Лист2!$A$2:$E$505,3)</f>
        <v>7</v>
      </c>
      <c r="F366" s="7">
        <f>VLOOKUP(A366,Лист2!$A$2:$E$505,4)</f>
        <v>577</v>
      </c>
      <c r="G366" s="7">
        <f>VLOOKUP(A366,Лист2!$A$2:$E$505,5)</f>
        <v>389</v>
      </c>
      <c r="H366">
        <f>D366/E366</f>
        <v>424332.85714285716</v>
      </c>
      <c r="I366">
        <f>WEEKNUM(A366)</f>
        <v>22</v>
      </c>
    </row>
    <row r="367" spans="1:9" ht="14.25" customHeight="1" x14ac:dyDescent="0.3">
      <c r="A367" s="8">
        <v>43976</v>
      </c>
      <c r="B367" s="9" t="s">
        <v>10</v>
      </c>
      <c r="C367" s="9">
        <v>35592</v>
      </c>
      <c r="D367" s="9">
        <v>3176580</v>
      </c>
      <c r="E367" s="7">
        <f>VLOOKUP(A367,Лист2!$A$2:$E$505,3)</f>
        <v>10</v>
      </c>
      <c r="F367" s="7">
        <f>VLOOKUP(A367,Лист2!$A$2:$E$505,4)</f>
        <v>739</v>
      </c>
      <c r="G367" s="7">
        <f>VLOOKUP(A367,Лист2!$A$2:$E$505,5)</f>
        <v>642</v>
      </c>
      <c r="H367">
        <f>D367/E367</f>
        <v>317658</v>
      </c>
      <c r="I367">
        <f>WEEKNUM(A367)</f>
        <v>22</v>
      </c>
    </row>
    <row r="368" spans="1:9" ht="14.25" customHeight="1" x14ac:dyDescent="0.3">
      <c r="A368" s="5">
        <v>43975</v>
      </c>
      <c r="B368" s="6" t="s">
        <v>10</v>
      </c>
      <c r="C368" s="6">
        <v>34303.5</v>
      </c>
      <c r="D368" s="6">
        <v>2924746.5</v>
      </c>
      <c r="E368" s="7">
        <f>VLOOKUP(A368,Лист2!$A$2:$E$505,3)</f>
        <v>10</v>
      </c>
      <c r="F368" s="7">
        <f>VLOOKUP(A368,Лист2!$A$2:$E$505,4)</f>
        <v>639</v>
      </c>
      <c r="G368" s="7">
        <f>VLOOKUP(A368,Лист2!$A$2:$E$505,5)</f>
        <v>557</v>
      </c>
      <c r="H368">
        <f>D368/E368</f>
        <v>292474.65000000002</v>
      </c>
      <c r="I368">
        <f>WEEKNUM(A368)</f>
        <v>22</v>
      </c>
    </row>
    <row r="369" spans="1:9" ht="14.25" customHeight="1" x14ac:dyDescent="0.3">
      <c r="A369" s="18">
        <v>43981</v>
      </c>
      <c r="B369" s="20" t="s">
        <v>10</v>
      </c>
      <c r="C369" s="20">
        <v>44001</v>
      </c>
      <c r="D369" s="20">
        <v>3921784.5</v>
      </c>
      <c r="E369" s="7">
        <f>VLOOKUP(A369,Лист2!$A$2:$E$505,3)</f>
        <v>7</v>
      </c>
      <c r="F369" s="7">
        <f>VLOOKUP(A369,Лист2!$A$2:$E$505,4)</f>
        <v>532</v>
      </c>
      <c r="G369" s="7">
        <f>VLOOKUP(A369,Лист2!$A$2:$E$505,5)</f>
        <v>449</v>
      </c>
      <c r="H369">
        <f>D369/E369</f>
        <v>560254.92857142852</v>
      </c>
      <c r="I369">
        <f>WEEKNUM(A369)</f>
        <v>22</v>
      </c>
    </row>
    <row r="370" spans="1:9" ht="14.25" customHeight="1" x14ac:dyDescent="0.3">
      <c r="A370" s="17">
        <v>43979</v>
      </c>
      <c r="B370" s="19" t="s">
        <v>10</v>
      </c>
      <c r="C370" s="19">
        <v>30982.5</v>
      </c>
      <c r="D370" s="19">
        <v>2827773</v>
      </c>
      <c r="E370" s="7">
        <f>VLOOKUP(A370,Лист2!$A$2:$E$505,3)</f>
        <v>7</v>
      </c>
      <c r="F370" s="7">
        <f>VLOOKUP(A370,Лист2!$A$2:$E$505,4)</f>
        <v>420</v>
      </c>
      <c r="G370" s="7">
        <f>VLOOKUP(A370,Лист2!$A$2:$E$505,5)</f>
        <v>347</v>
      </c>
      <c r="H370">
        <f>D370/E370</f>
        <v>403967.57142857142</v>
      </c>
      <c r="I370">
        <f>WEEKNUM(A370)</f>
        <v>22</v>
      </c>
    </row>
    <row r="371" spans="1:9" ht="14.25" customHeight="1" x14ac:dyDescent="0.3">
      <c r="A371" s="8">
        <v>43977</v>
      </c>
      <c r="B371" s="9" t="s">
        <v>11</v>
      </c>
      <c r="C371" s="9">
        <v>79975.5</v>
      </c>
      <c r="D371" s="9">
        <v>6676459.5</v>
      </c>
      <c r="E371" s="7">
        <f>VLOOKUP(A371,Лист2!$A$2:$E$505,3)</f>
        <v>7</v>
      </c>
      <c r="F371" s="7">
        <f>VLOOKUP(A371,Лист2!$A$2:$E$505,4)</f>
        <v>577</v>
      </c>
      <c r="G371" s="7">
        <f>VLOOKUP(A371,Лист2!$A$2:$E$505,5)</f>
        <v>389</v>
      </c>
      <c r="H371">
        <f>D371/E371</f>
        <v>953779.92857142852</v>
      </c>
      <c r="I371">
        <f>WEEKNUM(A371)</f>
        <v>22</v>
      </c>
    </row>
    <row r="372" spans="1:9" ht="14.25" customHeight="1" x14ac:dyDescent="0.3">
      <c r="A372" s="5">
        <v>43976</v>
      </c>
      <c r="B372" s="6" t="s">
        <v>11</v>
      </c>
      <c r="C372" s="6">
        <v>76999.5</v>
      </c>
      <c r="D372" s="6">
        <v>6645603</v>
      </c>
      <c r="E372" s="7">
        <f>VLOOKUP(A372,Лист2!$A$2:$E$505,3)</f>
        <v>10</v>
      </c>
      <c r="F372" s="7">
        <f>VLOOKUP(A372,Лист2!$A$2:$E$505,4)</f>
        <v>739</v>
      </c>
      <c r="G372" s="7">
        <f>VLOOKUP(A372,Лист2!$A$2:$E$505,5)</f>
        <v>642</v>
      </c>
      <c r="H372">
        <f>D372/E372</f>
        <v>664560.30000000005</v>
      </c>
      <c r="I372">
        <f>WEEKNUM(A372)</f>
        <v>22</v>
      </c>
    </row>
    <row r="373" spans="1:9" ht="14.25" customHeight="1" x14ac:dyDescent="0.3">
      <c r="A373" s="8">
        <v>43975</v>
      </c>
      <c r="B373" s="9" t="s">
        <v>11</v>
      </c>
      <c r="C373" s="9">
        <v>76663.5</v>
      </c>
      <c r="D373" s="9">
        <v>6451032</v>
      </c>
      <c r="E373" s="7">
        <f>VLOOKUP(A373,Лист2!$A$2:$E$505,3)</f>
        <v>10</v>
      </c>
      <c r="F373" s="7">
        <f>VLOOKUP(A373,Лист2!$A$2:$E$505,4)</f>
        <v>639</v>
      </c>
      <c r="G373" s="7">
        <f>VLOOKUP(A373,Лист2!$A$2:$E$505,5)</f>
        <v>557</v>
      </c>
      <c r="H373">
        <f>D373/E373</f>
        <v>645103.19999999995</v>
      </c>
      <c r="I373">
        <f>WEEKNUM(A373)</f>
        <v>22</v>
      </c>
    </row>
    <row r="374" spans="1:9" ht="14.25" customHeight="1" x14ac:dyDescent="0.3">
      <c r="A374" s="17">
        <v>43977</v>
      </c>
      <c r="B374" s="19" t="s">
        <v>12</v>
      </c>
      <c r="C374" s="19">
        <v>11835</v>
      </c>
      <c r="D374" s="19">
        <v>983109</v>
      </c>
      <c r="E374" s="7">
        <f>VLOOKUP(A374,Лист2!$A$2:$E$505,3)</f>
        <v>7</v>
      </c>
      <c r="F374" s="7">
        <f>VLOOKUP(A374,Лист2!$A$2:$E$505,4)</f>
        <v>577</v>
      </c>
      <c r="G374" s="7">
        <f>VLOOKUP(A374,Лист2!$A$2:$E$505,5)</f>
        <v>389</v>
      </c>
      <c r="H374">
        <f>D374/E374</f>
        <v>140444.14285714287</v>
      </c>
      <c r="I374">
        <f>WEEKNUM(A374)</f>
        <v>22</v>
      </c>
    </row>
    <row r="375" spans="1:9" ht="14.25" customHeight="1" x14ac:dyDescent="0.3">
      <c r="A375" s="8">
        <v>43981</v>
      </c>
      <c r="B375" s="9" t="s">
        <v>11</v>
      </c>
      <c r="C375" s="9">
        <v>108123</v>
      </c>
      <c r="D375" s="9">
        <v>9164707.5</v>
      </c>
      <c r="E375" s="7">
        <f>VLOOKUP(A375,Лист2!$A$2:$E$505,3)</f>
        <v>7</v>
      </c>
      <c r="F375" s="7">
        <f>VLOOKUP(A375,Лист2!$A$2:$E$505,4)</f>
        <v>532</v>
      </c>
      <c r="G375" s="7">
        <f>VLOOKUP(A375,Лист2!$A$2:$E$505,5)</f>
        <v>449</v>
      </c>
      <c r="H375">
        <f>D375/E375</f>
        <v>1309243.9285714286</v>
      </c>
      <c r="I375">
        <f>WEEKNUM(A375)</f>
        <v>22</v>
      </c>
    </row>
    <row r="376" spans="1:9" ht="14.25" customHeight="1" x14ac:dyDescent="0.3">
      <c r="A376" s="5">
        <v>43979</v>
      </c>
      <c r="B376" s="6" t="s">
        <v>11</v>
      </c>
      <c r="C376" s="6">
        <v>78141</v>
      </c>
      <c r="D376" s="6">
        <v>6641569.5</v>
      </c>
      <c r="E376" s="7">
        <f>VLOOKUP(A376,Лист2!$A$2:$E$505,3)</f>
        <v>7</v>
      </c>
      <c r="F376" s="7">
        <f>VLOOKUP(A376,Лист2!$A$2:$E$505,4)</f>
        <v>420</v>
      </c>
      <c r="G376" s="7">
        <f>VLOOKUP(A376,Лист2!$A$2:$E$505,5)</f>
        <v>347</v>
      </c>
      <c r="H376">
        <f>D376/E376</f>
        <v>948795.64285714284</v>
      </c>
      <c r="I376">
        <f>WEEKNUM(A376)</f>
        <v>22</v>
      </c>
    </row>
    <row r="377" spans="1:9" ht="14.25" customHeight="1" x14ac:dyDescent="0.3">
      <c r="A377" s="8">
        <v>43976</v>
      </c>
      <c r="B377" s="9" t="s">
        <v>12</v>
      </c>
      <c r="C377" s="9">
        <v>12280.5</v>
      </c>
      <c r="D377" s="9">
        <v>1030440</v>
      </c>
      <c r="E377" s="7">
        <f>VLOOKUP(A377,Лист2!$A$2:$E$505,3)</f>
        <v>10</v>
      </c>
      <c r="F377" s="7">
        <f>VLOOKUP(A377,Лист2!$A$2:$E$505,4)</f>
        <v>739</v>
      </c>
      <c r="G377" s="7">
        <f>VLOOKUP(A377,Лист2!$A$2:$E$505,5)</f>
        <v>642</v>
      </c>
      <c r="H377">
        <f>D377/E377</f>
        <v>103044</v>
      </c>
      <c r="I377">
        <f>WEEKNUM(A377)</f>
        <v>22</v>
      </c>
    </row>
    <row r="378" spans="1:9" ht="14.25" customHeight="1" x14ac:dyDescent="0.3">
      <c r="A378" s="5">
        <v>43975</v>
      </c>
      <c r="B378" s="6" t="s">
        <v>12</v>
      </c>
      <c r="C378" s="6">
        <v>9994.5</v>
      </c>
      <c r="D378" s="6">
        <v>828984</v>
      </c>
      <c r="E378" s="7">
        <f>VLOOKUP(A378,Лист2!$A$2:$E$505,3)</f>
        <v>10</v>
      </c>
      <c r="F378" s="7">
        <f>VLOOKUP(A378,Лист2!$A$2:$E$505,4)</f>
        <v>639</v>
      </c>
      <c r="G378" s="7">
        <f>VLOOKUP(A378,Лист2!$A$2:$E$505,5)</f>
        <v>557</v>
      </c>
      <c r="H378">
        <f>D378/E378</f>
        <v>82898.399999999994</v>
      </c>
      <c r="I378">
        <f>WEEKNUM(A378)</f>
        <v>22</v>
      </c>
    </row>
    <row r="379" spans="1:9" ht="14.25" customHeight="1" x14ac:dyDescent="0.3">
      <c r="A379" s="18">
        <v>43981</v>
      </c>
      <c r="B379" s="20" t="s">
        <v>12</v>
      </c>
      <c r="C379" s="20">
        <v>14728.5</v>
      </c>
      <c r="D379" s="20">
        <v>1260483</v>
      </c>
      <c r="E379" s="7">
        <f>VLOOKUP(A379,Лист2!$A$2:$E$505,3)</f>
        <v>7</v>
      </c>
      <c r="F379" s="7">
        <f>VLOOKUP(A379,Лист2!$A$2:$E$505,4)</f>
        <v>532</v>
      </c>
      <c r="G379" s="7">
        <f>VLOOKUP(A379,Лист2!$A$2:$E$505,5)</f>
        <v>449</v>
      </c>
      <c r="H379">
        <f>D379/E379</f>
        <v>180069</v>
      </c>
      <c r="I379">
        <f>WEEKNUM(A379)</f>
        <v>22</v>
      </c>
    </row>
    <row r="380" spans="1:9" ht="14.25" customHeight="1" x14ac:dyDescent="0.3">
      <c r="A380" s="17">
        <v>43979</v>
      </c>
      <c r="B380" s="19" t="s">
        <v>12</v>
      </c>
      <c r="C380" s="19">
        <v>13038</v>
      </c>
      <c r="D380" s="19">
        <v>1114552.5</v>
      </c>
      <c r="E380" s="7">
        <f>VLOOKUP(A380,Лист2!$A$2:$E$505,3)</f>
        <v>7</v>
      </c>
      <c r="F380" s="7">
        <f>VLOOKUP(A380,Лист2!$A$2:$E$505,4)</f>
        <v>420</v>
      </c>
      <c r="G380" s="7">
        <f>VLOOKUP(A380,Лист2!$A$2:$E$505,5)</f>
        <v>347</v>
      </c>
      <c r="H380">
        <f>D380/E380</f>
        <v>159221.78571428571</v>
      </c>
      <c r="I380">
        <f>WEEKNUM(A380)</f>
        <v>22</v>
      </c>
    </row>
    <row r="381" spans="1:9" ht="14.25" customHeight="1" x14ac:dyDescent="0.3">
      <c r="A381" s="8">
        <v>43977</v>
      </c>
      <c r="B381" s="9" t="s">
        <v>13</v>
      </c>
      <c r="C381" s="9">
        <v>31407</v>
      </c>
      <c r="D381" s="9">
        <v>2907411</v>
      </c>
      <c r="E381" s="7">
        <f>VLOOKUP(A381,Лист2!$A$2:$E$505,3)</f>
        <v>7</v>
      </c>
      <c r="F381" s="7">
        <f>VLOOKUP(A381,Лист2!$A$2:$E$505,4)</f>
        <v>577</v>
      </c>
      <c r="G381" s="7">
        <f>VLOOKUP(A381,Лист2!$A$2:$E$505,5)</f>
        <v>389</v>
      </c>
      <c r="H381">
        <f>D381/E381</f>
        <v>415344.42857142858</v>
      </c>
      <c r="I381">
        <f>WEEKNUM(A381)</f>
        <v>22</v>
      </c>
    </row>
    <row r="382" spans="1:9" ht="14.25" customHeight="1" x14ac:dyDescent="0.3">
      <c r="A382" s="5">
        <v>43976</v>
      </c>
      <c r="B382" s="6" t="s">
        <v>13</v>
      </c>
      <c r="C382" s="6">
        <v>30603</v>
      </c>
      <c r="D382" s="6">
        <v>2865727.5</v>
      </c>
      <c r="E382" s="7">
        <f>VLOOKUP(A382,Лист2!$A$2:$E$505,3)</f>
        <v>10</v>
      </c>
      <c r="F382" s="7">
        <f>VLOOKUP(A382,Лист2!$A$2:$E$505,4)</f>
        <v>739</v>
      </c>
      <c r="G382" s="7">
        <f>VLOOKUP(A382,Лист2!$A$2:$E$505,5)</f>
        <v>642</v>
      </c>
      <c r="H382">
        <f>D382/E382</f>
        <v>286572.75</v>
      </c>
      <c r="I382">
        <f>WEEKNUM(A382)</f>
        <v>22</v>
      </c>
    </row>
    <row r="383" spans="1:9" ht="14.25" customHeight="1" x14ac:dyDescent="0.3">
      <c r="A383" s="8">
        <v>43975</v>
      </c>
      <c r="B383" s="9" t="s">
        <v>13</v>
      </c>
      <c r="C383" s="9">
        <v>31854</v>
      </c>
      <c r="D383" s="9">
        <v>2915533.5</v>
      </c>
      <c r="E383" s="7">
        <f>VLOOKUP(A383,Лист2!$A$2:$E$505,3)</f>
        <v>10</v>
      </c>
      <c r="F383" s="7">
        <f>VLOOKUP(A383,Лист2!$A$2:$E$505,4)</f>
        <v>639</v>
      </c>
      <c r="G383" s="7">
        <f>VLOOKUP(A383,Лист2!$A$2:$E$505,5)</f>
        <v>557</v>
      </c>
      <c r="H383">
        <f>D383/E383</f>
        <v>291553.34999999998</v>
      </c>
      <c r="I383">
        <f>WEEKNUM(A383)</f>
        <v>22</v>
      </c>
    </row>
    <row r="384" spans="1:9" ht="14.25" customHeight="1" x14ac:dyDescent="0.3">
      <c r="A384" s="17">
        <v>43981</v>
      </c>
      <c r="B384" s="19" t="s">
        <v>13</v>
      </c>
      <c r="C384" s="19">
        <v>39867</v>
      </c>
      <c r="D384" s="19">
        <v>3654166.5</v>
      </c>
      <c r="E384" s="7">
        <f>VLOOKUP(A384,Лист2!$A$2:$E$505,3)</f>
        <v>7</v>
      </c>
      <c r="F384" s="7">
        <f>VLOOKUP(A384,Лист2!$A$2:$E$505,4)</f>
        <v>532</v>
      </c>
      <c r="G384" s="7">
        <f>VLOOKUP(A384,Лист2!$A$2:$E$505,5)</f>
        <v>449</v>
      </c>
      <c r="H384">
        <f>D384/E384</f>
        <v>522023.78571428574</v>
      </c>
      <c r="I384">
        <f>WEEKNUM(A384)</f>
        <v>22</v>
      </c>
    </row>
    <row r="385" spans="1:9" ht="14.25" customHeight="1" x14ac:dyDescent="0.3">
      <c r="A385" s="18">
        <v>43979</v>
      </c>
      <c r="B385" s="20" t="s">
        <v>13</v>
      </c>
      <c r="C385" s="20">
        <v>31974</v>
      </c>
      <c r="D385" s="20">
        <v>3004213.5</v>
      </c>
      <c r="E385" s="7">
        <f>VLOOKUP(A385,Лист2!$A$2:$E$505,3)</f>
        <v>7</v>
      </c>
      <c r="F385" s="7">
        <f>VLOOKUP(A385,Лист2!$A$2:$E$505,4)</f>
        <v>420</v>
      </c>
      <c r="G385" s="7">
        <f>VLOOKUP(A385,Лист2!$A$2:$E$505,5)</f>
        <v>347</v>
      </c>
      <c r="H385">
        <f>D385/E385</f>
        <v>429173.35714285716</v>
      </c>
      <c r="I385">
        <f>WEEKNUM(A385)</f>
        <v>22</v>
      </c>
    </row>
    <row r="386" spans="1:9" ht="14.25" customHeight="1" x14ac:dyDescent="0.3">
      <c r="A386" s="5">
        <v>43977</v>
      </c>
      <c r="B386" s="6" t="s">
        <v>14</v>
      </c>
      <c r="C386" s="6">
        <v>276966</v>
      </c>
      <c r="D386" s="6">
        <v>27872617.898850001</v>
      </c>
      <c r="E386" s="7">
        <f>VLOOKUP(A386,Лист2!$A$2:$E$505,3)</f>
        <v>7</v>
      </c>
      <c r="F386" s="7">
        <f>VLOOKUP(A386,Лист2!$A$2:$E$505,4)</f>
        <v>577</v>
      </c>
      <c r="G386" s="7">
        <f>VLOOKUP(A386,Лист2!$A$2:$E$505,5)</f>
        <v>389</v>
      </c>
      <c r="H386">
        <f>D386/E386</f>
        <v>3981802.5569785717</v>
      </c>
      <c r="I386">
        <f>WEEKNUM(A386)</f>
        <v>22</v>
      </c>
    </row>
    <row r="387" spans="1:9" ht="14.25" customHeight="1" x14ac:dyDescent="0.3">
      <c r="A387" s="8">
        <v>43976</v>
      </c>
      <c r="B387" s="9" t="s">
        <v>14</v>
      </c>
      <c r="C387" s="9">
        <v>266983.5</v>
      </c>
      <c r="D387" s="9">
        <v>27165913.5</v>
      </c>
      <c r="E387" s="7">
        <f>VLOOKUP(A387,Лист2!$A$2:$E$505,3)</f>
        <v>10</v>
      </c>
      <c r="F387" s="7">
        <f>VLOOKUP(A387,Лист2!$A$2:$E$505,4)</f>
        <v>739</v>
      </c>
      <c r="G387" s="7">
        <f>VLOOKUP(A387,Лист2!$A$2:$E$505,5)</f>
        <v>642</v>
      </c>
      <c r="H387">
        <f>D387/E387</f>
        <v>2716591.35</v>
      </c>
      <c r="I387">
        <f>WEEKNUM(A387)</f>
        <v>22</v>
      </c>
    </row>
    <row r="388" spans="1:9" ht="14.25" customHeight="1" x14ac:dyDescent="0.3">
      <c r="A388" s="5">
        <v>43975</v>
      </c>
      <c r="B388" s="6" t="s">
        <v>14</v>
      </c>
      <c r="C388" s="6">
        <v>287740.5</v>
      </c>
      <c r="D388" s="6">
        <v>28188534</v>
      </c>
      <c r="E388" s="7">
        <f>VLOOKUP(A388,Лист2!$A$2:$E$505,3)</f>
        <v>10</v>
      </c>
      <c r="F388" s="7">
        <f>VLOOKUP(A388,Лист2!$A$2:$E$505,4)</f>
        <v>639</v>
      </c>
      <c r="G388" s="7">
        <f>VLOOKUP(A388,Лист2!$A$2:$E$505,5)</f>
        <v>557</v>
      </c>
      <c r="H388">
        <f>D388/E388</f>
        <v>2818853.4</v>
      </c>
      <c r="I388">
        <f>WEEKNUM(A388)</f>
        <v>22</v>
      </c>
    </row>
    <row r="389" spans="1:9" ht="14.25" customHeight="1" x14ac:dyDescent="0.3">
      <c r="A389" s="18">
        <v>43977</v>
      </c>
      <c r="B389" s="20" t="s">
        <v>15</v>
      </c>
      <c r="C389" s="20">
        <v>369861</v>
      </c>
      <c r="D389" s="20">
        <v>38365960.5</v>
      </c>
      <c r="E389" s="7">
        <f>VLOOKUP(A389,Лист2!$A$2:$E$505,3)</f>
        <v>7</v>
      </c>
      <c r="F389" s="7">
        <f>VLOOKUP(A389,Лист2!$A$2:$E$505,4)</f>
        <v>577</v>
      </c>
      <c r="G389" s="7">
        <f>VLOOKUP(A389,Лист2!$A$2:$E$505,5)</f>
        <v>389</v>
      </c>
      <c r="H389">
        <f>D389/E389</f>
        <v>5480851.5</v>
      </c>
      <c r="I389">
        <f>WEEKNUM(A389)</f>
        <v>22</v>
      </c>
    </row>
    <row r="390" spans="1:9" ht="14.25" customHeight="1" x14ac:dyDescent="0.3">
      <c r="A390" s="5">
        <v>43981</v>
      </c>
      <c r="B390" s="6" t="s">
        <v>14</v>
      </c>
      <c r="C390" s="6">
        <v>364882.5</v>
      </c>
      <c r="D390" s="6">
        <v>35724493.5</v>
      </c>
      <c r="E390" s="7">
        <f>VLOOKUP(A390,Лист2!$A$2:$E$505,3)</f>
        <v>7</v>
      </c>
      <c r="F390" s="7">
        <f>VLOOKUP(A390,Лист2!$A$2:$E$505,4)</f>
        <v>532</v>
      </c>
      <c r="G390" s="7">
        <f>VLOOKUP(A390,Лист2!$A$2:$E$505,5)</f>
        <v>449</v>
      </c>
      <c r="H390">
        <f>D390/E390</f>
        <v>5103499.0714285718</v>
      </c>
      <c r="I390">
        <f>WEEKNUM(A390)</f>
        <v>22</v>
      </c>
    </row>
    <row r="391" spans="1:9" ht="14.25" customHeight="1" x14ac:dyDescent="0.3">
      <c r="A391" s="8">
        <v>43979</v>
      </c>
      <c r="B391" s="9" t="s">
        <v>14</v>
      </c>
      <c r="C391" s="9">
        <v>278491.5</v>
      </c>
      <c r="D391" s="9">
        <v>28151004.75</v>
      </c>
      <c r="E391" s="7">
        <f>VLOOKUP(A391,Лист2!$A$2:$E$505,3)</f>
        <v>7</v>
      </c>
      <c r="F391" s="7">
        <f>VLOOKUP(A391,Лист2!$A$2:$E$505,4)</f>
        <v>420</v>
      </c>
      <c r="G391" s="7">
        <f>VLOOKUP(A391,Лист2!$A$2:$E$505,5)</f>
        <v>347</v>
      </c>
      <c r="H391">
        <f>D391/E391</f>
        <v>4021572.1071428573</v>
      </c>
      <c r="I391">
        <f>WEEKNUM(A391)</f>
        <v>22</v>
      </c>
    </row>
    <row r="392" spans="1:9" ht="14.25" customHeight="1" x14ac:dyDescent="0.3">
      <c r="A392" s="5">
        <v>43976</v>
      </c>
      <c r="B392" s="6" t="s">
        <v>15</v>
      </c>
      <c r="C392" s="6">
        <v>349734</v>
      </c>
      <c r="D392" s="6">
        <v>36883428</v>
      </c>
      <c r="E392" s="7">
        <f>VLOOKUP(A392,Лист2!$A$2:$E$505,3)</f>
        <v>10</v>
      </c>
      <c r="F392" s="7">
        <f>VLOOKUP(A392,Лист2!$A$2:$E$505,4)</f>
        <v>739</v>
      </c>
      <c r="G392" s="7">
        <f>VLOOKUP(A392,Лист2!$A$2:$E$505,5)</f>
        <v>642</v>
      </c>
      <c r="H392">
        <f>D392/E392</f>
        <v>3688342.8</v>
      </c>
      <c r="I392">
        <f>WEEKNUM(A392)</f>
        <v>22</v>
      </c>
    </row>
    <row r="393" spans="1:9" ht="14.25" customHeight="1" x14ac:dyDescent="0.3">
      <c r="A393" s="8">
        <v>43975</v>
      </c>
      <c r="B393" s="9" t="s">
        <v>15</v>
      </c>
      <c r="C393" s="9">
        <v>375744</v>
      </c>
      <c r="D393" s="9">
        <v>38191381.5</v>
      </c>
      <c r="E393" s="7">
        <f>VLOOKUP(A393,Лист2!$A$2:$E$505,3)</f>
        <v>10</v>
      </c>
      <c r="F393" s="7">
        <f>VLOOKUP(A393,Лист2!$A$2:$E$505,4)</f>
        <v>639</v>
      </c>
      <c r="G393" s="7">
        <f>VLOOKUP(A393,Лист2!$A$2:$E$505,5)</f>
        <v>557</v>
      </c>
      <c r="H393">
        <f>D393/E393</f>
        <v>3819138.15</v>
      </c>
      <c r="I393">
        <f>WEEKNUM(A393)</f>
        <v>22</v>
      </c>
    </row>
    <row r="394" spans="1:9" ht="14.25" customHeight="1" x14ac:dyDescent="0.3">
      <c r="A394" s="17">
        <v>43977</v>
      </c>
      <c r="B394" s="19" t="s">
        <v>16</v>
      </c>
      <c r="C394" s="19">
        <v>67726.5</v>
      </c>
      <c r="D394" s="19">
        <v>5864989.5</v>
      </c>
      <c r="E394" s="7">
        <f>VLOOKUP(A394,Лист2!$A$2:$E$505,3)</f>
        <v>7</v>
      </c>
      <c r="F394" s="7">
        <f>VLOOKUP(A394,Лист2!$A$2:$E$505,4)</f>
        <v>577</v>
      </c>
      <c r="G394" s="7">
        <f>VLOOKUP(A394,Лист2!$A$2:$E$505,5)</f>
        <v>389</v>
      </c>
      <c r="H394">
        <f>D394/E394</f>
        <v>837855.64285714284</v>
      </c>
      <c r="I394">
        <f>WEEKNUM(A394)</f>
        <v>22</v>
      </c>
    </row>
    <row r="395" spans="1:9" ht="14.25" customHeight="1" x14ac:dyDescent="0.3">
      <c r="A395" s="8">
        <v>43981</v>
      </c>
      <c r="B395" s="9" t="s">
        <v>15</v>
      </c>
      <c r="C395" s="9">
        <v>453123</v>
      </c>
      <c r="D395" s="9">
        <v>46370904</v>
      </c>
      <c r="E395" s="7">
        <f>VLOOKUP(A395,Лист2!$A$2:$E$505,3)</f>
        <v>7</v>
      </c>
      <c r="F395" s="7">
        <f>VLOOKUP(A395,Лист2!$A$2:$E$505,4)</f>
        <v>532</v>
      </c>
      <c r="G395" s="7">
        <f>VLOOKUP(A395,Лист2!$A$2:$E$505,5)</f>
        <v>449</v>
      </c>
      <c r="H395">
        <f>D395/E395</f>
        <v>6624414.8571428573</v>
      </c>
      <c r="I395">
        <f>WEEKNUM(A395)</f>
        <v>22</v>
      </c>
    </row>
    <row r="396" spans="1:9" ht="14.25" customHeight="1" x14ac:dyDescent="0.3">
      <c r="A396" s="5">
        <v>43979</v>
      </c>
      <c r="B396" s="6" t="s">
        <v>15</v>
      </c>
      <c r="C396" s="6">
        <v>364638</v>
      </c>
      <c r="D396" s="6">
        <v>37947688.5</v>
      </c>
      <c r="E396" s="7">
        <f>VLOOKUP(A396,Лист2!$A$2:$E$505,3)</f>
        <v>7</v>
      </c>
      <c r="F396" s="7">
        <f>VLOOKUP(A396,Лист2!$A$2:$E$505,4)</f>
        <v>420</v>
      </c>
      <c r="G396" s="7">
        <f>VLOOKUP(A396,Лист2!$A$2:$E$505,5)</f>
        <v>347</v>
      </c>
      <c r="H396">
        <f>D396/E396</f>
        <v>5421098.3571428573</v>
      </c>
      <c r="I396">
        <f>WEEKNUM(A396)</f>
        <v>22</v>
      </c>
    </row>
    <row r="397" spans="1:9" ht="14.25" customHeight="1" x14ac:dyDescent="0.3">
      <c r="A397" s="8">
        <v>43976</v>
      </c>
      <c r="B397" s="9" t="s">
        <v>16</v>
      </c>
      <c r="C397" s="9">
        <v>66316.5</v>
      </c>
      <c r="D397" s="9">
        <v>5704650</v>
      </c>
      <c r="E397" s="7">
        <f>VLOOKUP(A397,Лист2!$A$2:$E$505,3)</f>
        <v>10</v>
      </c>
      <c r="F397" s="7">
        <f>VLOOKUP(A397,Лист2!$A$2:$E$505,4)</f>
        <v>739</v>
      </c>
      <c r="G397" s="7">
        <f>VLOOKUP(A397,Лист2!$A$2:$E$505,5)</f>
        <v>642</v>
      </c>
      <c r="H397">
        <f>D397/E397</f>
        <v>570465</v>
      </c>
      <c r="I397">
        <f>WEEKNUM(A397)</f>
        <v>22</v>
      </c>
    </row>
    <row r="398" spans="1:9" ht="14.25" customHeight="1" x14ac:dyDescent="0.3">
      <c r="A398" s="5">
        <v>43975</v>
      </c>
      <c r="B398" s="6" t="s">
        <v>16</v>
      </c>
      <c r="C398" s="6">
        <v>74649</v>
      </c>
      <c r="D398" s="6">
        <v>6098236.5</v>
      </c>
      <c r="E398" s="7">
        <f>VLOOKUP(A398,Лист2!$A$2:$E$505,3)</f>
        <v>10</v>
      </c>
      <c r="F398" s="7">
        <f>VLOOKUP(A398,Лист2!$A$2:$E$505,4)</f>
        <v>639</v>
      </c>
      <c r="G398" s="7">
        <f>VLOOKUP(A398,Лист2!$A$2:$E$505,5)</f>
        <v>557</v>
      </c>
      <c r="H398">
        <f>D398/E398</f>
        <v>609823.65</v>
      </c>
      <c r="I398">
        <f>WEEKNUM(A398)</f>
        <v>22</v>
      </c>
    </row>
    <row r="399" spans="1:9" ht="14.25" customHeight="1" x14ac:dyDescent="0.3">
      <c r="A399" s="18">
        <v>43977</v>
      </c>
      <c r="B399" s="20" t="s">
        <v>17</v>
      </c>
      <c r="C399" s="20">
        <v>40744.5</v>
      </c>
      <c r="D399" s="20">
        <v>3700311</v>
      </c>
      <c r="E399" s="7">
        <f>VLOOKUP(A399,Лист2!$A$2:$E$505,3)</f>
        <v>7</v>
      </c>
      <c r="F399" s="7">
        <f>VLOOKUP(A399,Лист2!$A$2:$E$505,4)</f>
        <v>577</v>
      </c>
      <c r="G399" s="7">
        <f>VLOOKUP(A399,Лист2!$A$2:$E$505,5)</f>
        <v>389</v>
      </c>
      <c r="H399">
        <f>D399/E399</f>
        <v>528615.85714285716</v>
      </c>
      <c r="I399">
        <f>WEEKNUM(A399)</f>
        <v>22</v>
      </c>
    </row>
    <row r="400" spans="1:9" ht="14.25" customHeight="1" x14ac:dyDescent="0.3">
      <c r="A400" s="5">
        <v>43981</v>
      </c>
      <c r="B400" s="6" t="s">
        <v>16</v>
      </c>
      <c r="C400" s="6">
        <v>106926</v>
      </c>
      <c r="D400" s="6">
        <v>9098386.5</v>
      </c>
      <c r="E400" s="7">
        <f>VLOOKUP(A400,Лист2!$A$2:$E$505,3)</f>
        <v>7</v>
      </c>
      <c r="F400" s="7">
        <f>VLOOKUP(A400,Лист2!$A$2:$E$505,4)</f>
        <v>532</v>
      </c>
      <c r="G400" s="7">
        <f>VLOOKUP(A400,Лист2!$A$2:$E$505,5)</f>
        <v>449</v>
      </c>
      <c r="H400">
        <f>D400/E400</f>
        <v>1299769.5</v>
      </c>
      <c r="I400">
        <f>WEEKNUM(A400)</f>
        <v>22</v>
      </c>
    </row>
    <row r="401" spans="1:9" ht="14.25" customHeight="1" x14ac:dyDescent="0.3">
      <c r="A401" s="8">
        <v>43979</v>
      </c>
      <c r="B401" s="9" t="s">
        <v>16</v>
      </c>
      <c r="C401" s="9">
        <v>69945</v>
      </c>
      <c r="D401" s="9">
        <v>6101931</v>
      </c>
      <c r="E401" s="7">
        <f>VLOOKUP(A401,Лист2!$A$2:$E$505,3)</f>
        <v>7</v>
      </c>
      <c r="F401" s="7">
        <f>VLOOKUP(A401,Лист2!$A$2:$E$505,4)</f>
        <v>420</v>
      </c>
      <c r="G401" s="7">
        <f>VLOOKUP(A401,Лист2!$A$2:$E$505,5)</f>
        <v>347</v>
      </c>
      <c r="H401">
        <f>D401/E401</f>
        <v>871704.42857142852</v>
      </c>
      <c r="I401">
        <f>WEEKNUM(A401)</f>
        <v>22</v>
      </c>
    </row>
    <row r="402" spans="1:9" ht="14.25" customHeight="1" x14ac:dyDescent="0.3">
      <c r="A402" s="5">
        <v>43976</v>
      </c>
      <c r="B402" s="6" t="s">
        <v>17</v>
      </c>
      <c r="C402" s="6">
        <v>38740.5</v>
      </c>
      <c r="D402" s="6">
        <v>3561655.5</v>
      </c>
      <c r="E402" s="7">
        <f>VLOOKUP(A402,Лист2!$A$2:$E$505,3)</f>
        <v>10</v>
      </c>
      <c r="F402" s="7">
        <f>VLOOKUP(A402,Лист2!$A$2:$E$505,4)</f>
        <v>739</v>
      </c>
      <c r="G402" s="7">
        <f>VLOOKUP(A402,Лист2!$A$2:$E$505,5)</f>
        <v>642</v>
      </c>
      <c r="H402">
        <f>D402/E402</f>
        <v>356165.55</v>
      </c>
      <c r="I402">
        <f>WEEKNUM(A402)</f>
        <v>22</v>
      </c>
    </row>
    <row r="403" spans="1:9" ht="14.25" customHeight="1" x14ac:dyDescent="0.3">
      <c r="A403" s="8">
        <v>43975</v>
      </c>
      <c r="B403" s="9" t="s">
        <v>17</v>
      </c>
      <c r="C403" s="9">
        <v>38194.5</v>
      </c>
      <c r="D403" s="9">
        <v>3449302.5</v>
      </c>
      <c r="E403" s="7">
        <f>VLOOKUP(A403,Лист2!$A$2:$E$505,3)</f>
        <v>10</v>
      </c>
      <c r="F403" s="7">
        <f>VLOOKUP(A403,Лист2!$A$2:$E$505,4)</f>
        <v>639</v>
      </c>
      <c r="G403" s="7">
        <f>VLOOKUP(A403,Лист2!$A$2:$E$505,5)</f>
        <v>557</v>
      </c>
      <c r="H403">
        <f>D403/E403</f>
        <v>344930.25</v>
      </c>
      <c r="I403">
        <f>WEEKNUM(A403)</f>
        <v>22</v>
      </c>
    </row>
    <row r="404" spans="1:9" ht="14.25" customHeight="1" x14ac:dyDescent="0.3">
      <c r="A404" s="17">
        <v>43981</v>
      </c>
      <c r="B404" s="19" t="s">
        <v>17</v>
      </c>
      <c r="C404" s="19">
        <v>48286.5</v>
      </c>
      <c r="D404" s="19">
        <v>4456441.5</v>
      </c>
      <c r="E404" s="7">
        <f>VLOOKUP(A404,Лист2!$A$2:$E$505,3)</f>
        <v>7</v>
      </c>
      <c r="F404" s="7">
        <f>VLOOKUP(A404,Лист2!$A$2:$E$505,4)</f>
        <v>532</v>
      </c>
      <c r="G404" s="7">
        <f>VLOOKUP(A404,Лист2!$A$2:$E$505,5)</f>
        <v>449</v>
      </c>
      <c r="H404">
        <f>D404/E404</f>
        <v>636634.5</v>
      </c>
      <c r="I404">
        <f>WEEKNUM(A404)</f>
        <v>22</v>
      </c>
    </row>
    <row r="405" spans="1:9" ht="14.25" customHeight="1" x14ac:dyDescent="0.3">
      <c r="A405" s="18">
        <v>43979</v>
      </c>
      <c r="B405" s="20" t="s">
        <v>17</v>
      </c>
      <c r="C405" s="20">
        <v>41442</v>
      </c>
      <c r="D405" s="20">
        <v>3893680.5</v>
      </c>
      <c r="E405" s="7">
        <f>VLOOKUP(A405,Лист2!$A$2:$E$505,3)</f>
        <v>7</v>
      </c>
      <c r="F405" s="7">
        <f>VLOOKUP(A405,Лист2!$A$2:$E$505,4)</f>
        <v>420</v>
      </c>
      <c r="G405" s="7">
        <f>VLOOKUP(A405,Лист2!$A$2:$E$505,5)</f>
        <v>347</v>
      </c>
      <c r="H405">
        <f>D405/E405</f>
        <v>556240.07142857148</v>
      </c>
      <c r="I405">
        <f>WEEKNUM(A405)</f>
        <v>22</v>
      </c>
    </row>
    <row r="406" spans="1:9" ht="14.25" customHeight="1" x14ac:dyDescent="0.3">
      <c r="A406" s="5">
        <v>43977</v>
      </c>
      <c r="B406" s="6" t="s">
        <v>18</v>
      </c>
      <c r="C406" s="6">
        <v>17391</v>
      </c>
      <c r="D406" s="6">
        <v>1489132.5</v>
      </c>
      <c r="E406" s="7">
        <f>VLOOKUP(A406,Лист2!$A$2:$E$505,3)</f>
        <v>7</v>
      </c>
      <c r="F406" s="7">
        <f>VLOOKUP(A406,Лист2!$A$2:$E$505,4)</f>
        <v>577</v>
      </c>
      <c r="G406" s="7">
        <f>VLOOKUP(A406,Лист2!$A$2:$E$505,5)</f>
        <v>389</v>
      </c>
      <c r="H406">
        <f>D406/E406</f>
        <v>212733.21428571429</v>
      </c>
      <c r="I406">
        <f>WEEKNUM(A406)</f>
        <v>22</v>
      </c>
    </row>
    <row r="407" spans="1:9" ht="14.25" customHeight="1" x14ac:dyDescent="0.3">
      <c r="A407" s="8">
        <v>43976</v>
      </c>
      <c r="B407" s="9" t="s">
        <v>18</v>
      </c>
      <c r="C407" s="9">
        <v>17211</v>
      </c>
      <c r="D407" s="9">
        <v>1507867.5</v>
      </c>
      <c r="E407" s="7">
        <f>VLOOKUP(A407,Лист2!$A$2:$E$505,3)</f>
        <v>10</v>
      </c>
      <c r="F407" s="7">
        <f>VLOOKUP(A407,Лист2!$A$2:$E$505,4)</f>
        <v>739</v>
      </c>
      <c r="G407" s="7">
        <f>VLOOKUP(A407,Лист2!$A$2:$E$505,5)</f>
        <v>642</v>
      </c>
      <c r="H407">
        <f>D407/E407</f>
        <v>150786.75</v>
      </c>
      <c r="I407">
        <f>WEEKNUM(A407)</f>
        <v>22</v>
      </c>
    </row>
    <row r="408" spans="1:9" ht="14.25" customHeight="1" x14ac:dyDescent="0.3">
      <c r="A408" s="5">
        <v>43975</v>
      </c>
      <c r="B408" s="6" t="s">
        <v>18</v>
      </c>
      <c r="C408" s="6">
        <v>18075</v>
      </c>
      <c r="D408" s="6">
        <v>1548099</v>
      </c>
      <c r="E408" s="7">
        <f>VLOOKUP(A408,Лист2!$A$2:$E$505,3)</f>
        <v>10</v>
      </c>
      <c r="F408" s="7">
        <f>VLOOKUP(A408,Лист2!$A$2:$E$505,4)</f>
        <v>639</v>
      </c>
      <c r="G408" s="7">
        <f>VLOOKUP(A408,Лист2!$A$2:$E$505,5)</f>
        <v>557</v>
      </c>
      <c r="H408">
        <f>D408/E408</f>
        <v>154809.9</v>
      </c>
      <c r="I408">
        <f>WEEKNUM(A408)</f>
        <v>22</v>
      </c>
    </row>
    <row r="409" spans="1:9" ht="14.25" customHeight="1" x14ac:dyDescent="0.3">
      <c r="A409" s="18">
        <v>43977</v>
      </c>
      <c r="B409" s="20" t="s">
        <v>19</v>
      </c>
      <c r="C409" s="20">
        <v>12259.5</v>
      </c>
      <c r="D409" s="20">
        <v>1152054</v>
      </c>
      <c r="E409" s="7">
        <f>VLOOKUP(A409,Лист2!$A$2:$E$505,3)</f>
        <v>7</v>
      </c>
      <c r="F409" s="7">
        <f>VLOOKUP(A409,Лист2!$A$2:$E$505,4)</f>
        <v>577</v>
      </c>
      <c r="G409" s="7">
        <f>VLOOKUP(A409,Лист2!$A$2:$E$505,5)</f>
        <v>389</v>
      </c>
      <c r="H409">
        <f>D409/E409</f>
        <v>164579.14285714287</v>
      </c>
      <c r="I409">
        <f>WEEKNUM(A409)</f>
        <v>22</v>
      </c>
    </row>
    <row r="410" spans="1:9" ht="14.25" customHeight="1" x14ac:dyDescent="0.3">
      <c r="A410" s="5">
        <v>43981</v>
      </c>
      <c r="B410" s="6" t="s">
        <v>18</v>
      </c>
      <c r="C410" s="6">
        <v>27250.5</v>
      </c>
      <c r="D410" s="6">
        <v>2457252</v>
      </c>
      <c r="E410" s="7">
        <f>VLOOKUP(A410,Лист2!$A$2:$E$505,3)</f>
        <v>7</v>
      </c>
      <c r="F410" s="7">
        <f>VLOOKUP(A410,Лист2!$A$2:$E$505,4)</f>
        <v>532</v>
      </c>
      <c r="G410" s="7">
        <f>VLOOKUP(A410,Лист2!$A$2:$E$505,5)</f>
        <v>449</v>
      </c>
      <c r="H410">
        <f>D410/E410</f>
        <v>351036</v>
      </c>
      <c r="I410">
        <f>WEEKNUM(A410)</f>
        <v>22</v>
      </c>
    </row>
    <row r="411" spans="1:9" ht="14.25" customHeight="1" x14ac:dyDescent="0.3">
      <c r="A411" s="8">
        <v>43979</v>
      </c>
      <c r="B411" s="9" t="s">
        <v>18</v>
      </c>
      <c r="C411" s="9">
        <v>16500</v>
      </c>
      <c r="D411" s="9">
        <v>1487928</v>
      </c>
      <c r="E411" s="7">
        <f>VLOOKUP(A411,Лист2!$A$2:$E$505,3)</f>
        <v>7</v>
      </c>
      <c r="F411" s="7">
        <f>VLOOKUP(A411,Лист2!$A$2:$E$505,4)</f>
        <v>420</v>
      </c>
      <c r="G411" s="7">
        <f>VLOOKUP(A411,Лист2!$A$2:$E$505,5)</f>
        <v>347</v>
      </c>
      <c r="H411">
        <f>D411/E411</f>
        <v>212561.14285714287</v>
      </c>
      <c r="I411">
        <f>WEEKNUM(A411)</f>
        <v>22</v>
      </c>
    </row>
    <row r="412" spans="1:9" ht="14.25" customHeight="1" x14ac:dyDescent="0.3">
      <c r="A412" s="5">
        <v>43976</v>
      </c>
      <c r="B412" s="6" t="s">
        <v>19</v>
      </c>
      <c r="C412" s="6">
        <v>13260</v>
      </c>
      <c r="D412" s="6">
        <v>1230687</v>
      </c>
      <c r="E412" s="7">
        <f>VLOOKUP(A412,Лист2!$A$2:$E$505,3)</f>
        <v>10</v>
      </c>
      <c r="F412" s="7">
        <f>VLOOKUP(A412,Лист2!$A$2:$E$505,4)</f>
        <v>739</v>
      </c>
      <c r="G412" s="7">
        <f>VLOOKUP(A412,Лист2!$A$2:$E$505,5)</f>
        <v>642</v>
      </c>
      <c r="H412">
        <f>D412/E412</f>
        <v>123068.7</v>
      </c>
      <c r="I412">
        <f>WEEKNUM(A412)</f>
        <v>22</v>
      </c>
    </row>
    <row r="413" spans="1:9" ht="14.25" customHeight="1" x14ac:dyDescent="0.3">
      <c r="A413" s="8">
        <v>43975</v>
      </c>
      <c r="B413" s="9" t="s">
        <v>19</v>
      </c>
      <c r="C413" s="9">
        <v>12666</v>
      </c>
      <c r="D413" s="9">
        <v>1184865</v>
      </c>
      <c r="E413" s="7">
        <f>VLOOKUP(A413,Лист2!$A$2:$E$505,3)</f>
        <v>10</v>
      </c>
      <c r="F413" s="7">
        <f>VLOOKUP(A413,Лист2!$A$2:$E$505,4)</f>
        <v>639</v>
      </c>
      <c r="G413" s="7">
        <f>VLOOKUP(A413,Лист2!$A$2:$E$505,5)</f>
        <v>557</v>
      </c>
      <c r="H413">
        <f>D413/E413</f>
        <v>118486.5</v>
      </c>
      <c r="I413">
        <f>WEEKNUM(A413)</f>
        <v>22</v>
      </c>
    </row>
    <row r="414" spans="1:9" ht="14.25" customHeight="1" x14ac:dyDescent="0.3">
      <c r="A414" s="5">
        <v>43977</v>
      </c>
      <c r="B414" s="6" t="s">
        <v>20</v>
      </c>
      <c r="C414" s="6">
        <v>27156</v>
      </c>
      <c r="D414" s="6">
        <v>2410803</v>
      </c>
      <c r="E414" s="7">
        <f>VLOOKUP(A414,Лист2!$A$2:$E$505,3)</f>
        <v>7</v>
      </c>
      <c r="F414" s="7">
        <f>VLOOKUP(A414,Лист2!$A$2:$E$505,4)</f>
        <v>577</v>
      </c>
      <c r="G414" s="7">
        <f>VLOOKUP(A414,Лист2!$A$2:$E$505,5)</f>
        <v>389</v>
      </c>
      <c r="H414">
        <f>D414/E414</f>
        <v>344400.42857142858</v>
      </c>
      <c r="I414">
        <f>WEEKNUM(A414)</f>
        <v>22</v>
      </c>
    </row>
    <row r="415" spans="1:9" ht="14.25" customHeight="1" x14ac:dyDescent="0.3">
      <c r="A415" s="8">
        <v>43981</v>
      </c>
      <c r="B415" s="9" t="s">
        <v>19</v>
      </c>
      <c r="C415" s="9">
        <v>17946</v>
      </c>
      <c r="D415" s="9">
        <v>1609090.5</v>
      </c>
      <c r="E415" s="7">
        <f>VLOOKUP(A415,Лист2!$A$2:$E$505,3)</f>
        <v>7</v>
      </c>
      <c r="F415" s="7">
        <f>VLOOKUP(A415,Лист2!$A$2:$E$505,4)</f>
        <v>532</v>
      </c>
      <c r="G415" s="7">
        <f>VLOOKUP(A415,Лист2!$A$2:$E$505,5)</f>
        <v>449</v>
      </c>
      <c r="H415">
        <f>D415/E415</f>
        <v>229870.07142857142</v>
      </c>
      <c r="I415">
        <f>WEEKNUM(A415)</f>
        <v>22</v>
      </c>
    </row>
    <row r="416" spans="1:9" ht="14.25" customHeight="1" x14ac:dyDescent="0.3">
      <c r="A416" s="5">
        <v>43979</v>
      </c>
      <c r="B416" s="6" t="s">
        <v>19</v>
      </c>
      <c r="C416" s="6">
        <v>13864.5</v>
      </c>
      <c r="D416" s="6">
        <v>1239747</v>
      </c>
      <c r="E416" s="7">
        <f>VLOOKUP(A416,Лист2!$A$2:$E$505,3)</f>
        <v>7</v>
      </c>
      <c r="F416" s="7">
        <f>VLOOKUP(A416,Лист2!$A$2:$E$505,4)</f>
        <v>420</v>
      </c>
      <c r="G416" s="7">
        <f>VLOOKUP(A416,Лист2!$A$2:$E$505,5)</f>
        <v>347</v>
      </c>
      <c r="H416">
        <f>D416/E416</f>
        <v>177106.71428571429</v>
      </c>
      <c r="I416">
        <f>WEEKNUM(A416)</f>
        <v>22</v>
      </c>
    </row>
    <row r="417" spans="1:9" ht="14.25" customHeight="1" x14ac:dyDescent="0.3">
      <c r="A417" s="8">
        <v>43976</v>
      </c>
      <c r="B417" s="9" t="s">
        <v>20</v>
      </c>
      <c r="C417" s="9">
        <v>28494</v>
      </c>
      <c r="D417" s="9">
        <v>2512803</v>
      </c>
      <c r="E417" s="7">
        <f>VLOOKUP(A417,Лист2!$A$2:$E$505,3)</f>
        <v>10</v>
      </c>
      <c r="F417" s="7">
        <f>VLOOKUP(A417,Лист2!$A$2:$E$505,4)</f>
        <v>739</v>
      </c>
      <c r="G417" s="7">
        <f>VLOOKUP(A417,Лист2!$A$2:$E$505,5)</f>
        <v>642</v>
      </c>
      <c r="H417">
        <f>D417/E417</f>
        <v>251280.3</v>
      </c>
      <c r="I417">
        <f>WEEKNUM(A417)</f>
        <v>22</v>
      </c>
    </row>
    <row r="418" spans="1:9" ht="14.25" customHeight="1" x14ac:dyDescent="0.3">
      <c r="A418" s="5">
        <v>43975</v>
      </c>
      <c r="B418" s="6" t="s">
        <v>20</v>
      </c>
      <c r="C418" s="6">
        <v>29824.5</v>
      </c>
      <c r="D418" s="6">
        <v>2526909</v>
      </c>
      <c r="E418" s="7">
        <f>VLOOKUP(A418,Лист2!$A$2:$E$505,3)</f>
        <v>10</v>
      </c>
      <c r="F418" s="7">
        <f>VLOOKUP(A418,Лист2!$A$2:$E$505,4)</f>
        <v>639</v>
      </c>
      <c r="G418" s="7">
        <f>VLOOKUP(A418,Лист2!$A$2:$E$505,5)</f>
        <v>557</v>
      </c>
      <c r="H418">
        <f>D418/E418</f>
        <v>252690.9</v>
      </c>
      <c r="I418">
        <f>WEEKNUM(A418)</f>
        <v>22</v>
      </c>
    </row>
    <row r="419" spans="1:9" ht="14.25" customHeight="1" x14ac:dyDescent="0.3">
      <c r="A419" s="18">
        <v>43981</v>
      </c>
      <c r="B419" s="20" t="s">
        <v>20</v>
      </c>
      <c r="C419" s="20">
        <v>34681.5</v>
      </c>
      <c r="D419" s="20">
        <v>3005334</v>
      </c>
      <c r="E419" s="7">
        <f>VLOOKUP(A419,Лист2!$A$2:$E$505,3)</f>
        <v>7</v>
      </c>
      <c r="F419" s="7">
        <f>VLOOKUP(A419,Лист2!$A$2:$E$505,4)</f>
        <v>532</v>
      </c>
      <c r="G419" s="7">
        <f>VLOOKUP(A419,Лист2!$A$2:$E$505,5)</f>
        <v>449</v>
      </c>
      <c r="H419">
        <f>D419/E419</f>
        <v>429333.42857142858</v>
      </c>
      <c r="I419">
        <f>WEEKNUM(A419)</f>
        <v>22</v>
      </c>
    </row>
    <row r="420" spans="1:9" ht="14.25" customHeight="1" x14ac:dyDescent="0.3">
      <c r="A420" s="17">
        <v>43979</v>
      </c>
      <c r="B420" s="19" t="s">
        <v>20</v>
      </c>
      <c r="C420" s="19">
        <v>28197</v>
      </c>
      <c r="D420" s="19">
        <v>2559211.5</v>
      </c>
      <c r="E420" s="7">
        <f>VLOOKUP(A420,Лист2!$A$2:$E$505,3)</f>
        <v>7</v>
      </c>
      <c r="F420" s="7">
        <f>VLOOKUP(A420,Лист2!$A$2:$E$505,4)</f>
        <v>420</v>
      </c>
      <c r="G420" s="7">
        <f>VLOOKUP(A420,Лист2!$A$2:$E$505,5)</f>
        <v>347</v>
      </c>
      <c r="H420">
        <f>D420/E420</f>
        <v>365601.64285714284</v>
      </c>
      <c r="I420">
        <f>WEEKNUM(A420)</f>
        <v>22</v>
      </c>
    </row>
    <row r="421" spans="1:9" ht="14.25" customHeight="1" x14ac:dyDescent="0.3">
      <c r="A421" s="8">
        <v>43977</v>
      </c>
      <c r="B421" s="9" t="s">
        <v>21</v>
      </c>
      <c r="C421" s="9">
        <v>244905</v>
      </c>
      <c r="D421" s="9">
        <v>25163431.5</v>
      </c>
      <c r="E421" s="7">
        <f>VLOOKUP(A421,Лист2!$A$2:$E$505,3)</f>
        <v>7</v>
      </c>
      <c r="F421" s="7">
        <f>VLOOKUP(A421,Лист2!$A$2:$E$505,4)</f>
        <v>577</v>
      </c>
      <c r="G421" s="7">
        <f>VLOOKUP(A421,Лист2!$A$2:$E$505,5)</f>
        <v>389</v>
      </c>
      <c r="H421">
        <f>D421/E421</f>
        <v>3594775.9285714286</v>
      </c>
      <c r="I421">
        <f>WEEKNUM(A421)</f>
        <v>22</v>
      </c>
    </row>
    <row r="422" spans="1:9" ht="14.25" customHeight="1" x14ac:dyDescent="0.3">
      <c r="A422" s="5">
        <v>43976</v>
      </c>
      <c r="B422" s="6" t="s">
        <v>21</v>
      </c>
      <c r="C422" s="6">
        <v>198751.5</v>
      </c>
      <c r="D422" s="6">
        <v>20582743.5</v>
      </c>
      <c r="E422" s="7">
        <f>VLOOKUP(A422,Лист2!$A$2:$E$505,3)</f>
        <v>10</v>
      </c>
      <c r="F422" s="7">
        <f>VLOOKUP(A422,Лист2!$A$2:$E$505,4)</f>
        <v>739</v>
      </c>
      <c r="G422" s="7">
        <f>VLOOKUP(A422,Лист2!$A$2:$E$505,5)</f>
        <v>642</v>
      </c>
      <c r="H422">
        <f>D422/E422</f>
        <v>2058274.35</v>
      </c>
      <c r="I422">
        <f>WEEKNUM(A422)</f>
        <v>22</v>
      </c>
    </row>
    <row r="423" spans="1:9" ht="14.25" customHeight="1" x14ac:dyDescent="0.3">
      <c r="A423" s="8">
        <v>43975</v>
      </c>
      <c r="B423" s="9" t="s">
        <v>21</v>
      </c>
      <c r="C423" s="9">
        <v>200029.5</v>
      </c>
      <c r="D423" s="9">
        <v>19959801</v>
      </c>
      <c r="E423" s="7">
        <f>VLOOKUP(A423,Лист2!$A$2:$E$505,3)</f>
        <v>10</v>
      </c>
      <c r="F423" s="7">
        <f>VLOOKUP(A423,Лист2!$A$2:$E$505,4)</f>
        <v>639</v>
      </c>
      <c r="G423" s="7">
        <f>VLOOKUP(A423,Лист2!$A$2:$E$505,5)</f>
        <v>557</v>
      </c>
      <c r="H423">
        <f>D423/E423</f>
        <v>1995980.1</v>
      </c>
      <c r="I423">
        <f>WEEKNUM(A423)</f>
        <v>22</v>
      </c>
    </row>
    <row r="424" spans="1:9" ht="14.25" customHeight="1" x14ac:dyDescent="0.3">
      <c r="A424" s="5">
        <v>43977</v>
      </c>
      <c r="B424" s="6" t="s">
        <v>22</v>
      </c>
      <c r="C424" s="6">
        <v>232369.5</v>
      </c>
      <c r="D424" s="6">
        <v>23856345</v>
      </c>
      <c r="E424" s="7">
        <f>VLOOKUP(A424,Лист2!$A$2:$E$505,3)</f>
        <v>7</v>
      </c>
      <c r="F424" s="7">
        <f>VLOOKUP(A424,Лист2!$A$2:$E$505,4)</f>
        <v>577</v>
      </c>
      <c r="G424" s="7">
        <f>VLOOKUP(A424,Лист2!$A$2:$E$505,5)</f>
        <v>389</v>
      </c>
      <c r="H424">
        <f>D424/E424</f>
        <v>3408049.2857142859</v>
      </c>
      <c r="I424">
        <f>WEEKNUM(A424)</f>
        <v>22</v>
      </c>
    </row>
    <row r="425" spans="1:9" ht="14.25" customHeight="1" x14ac:dyDescent="0.3">
      <c r="A425" s="8">
        <v>43981</v>
      </c>
      <c r="B425" s="9" t="s">
        <v>21</v>
      </c>
      <c r="C425" s="9">
        <v>246414</v>
      </c>
      <c r="D425" s="9">
        <v>24527245.5</v>
      </c>
      <c r="E425" s="7">
        <f>VLOOKUP(A425,Лист2!$A$2:$E$505,3)</f>
        <v>7</v>
      </c>
      <c r="F425" s="7">
        <f>VLOOKUP(A425,Лист2!$A$2:$E$505,4)</f>
        <v>532</v>
      </c>
      <c r="G425" s="7">
        <f>VLOOKUP(A425,Лист2!$A$2:$E$505,5)</f>
        <v>449</v>
      </c>
      <c r="H425">
        <f>D425/E425</f>
        <v>3503892.2142857141</v>
      </c>
      <c r="I425">
        <f>WEEKNUM(A425)</f>
        <v>22</v>
      </c>
    </row>
    <row r="426" spans="1:9" ht="14.25" customHeight="1" x14ac:dyDescent="0.3">
      <c r="A426" s="5">
        <v>43979</v>
      </c>
      <c r="B426" s="6" t="s">
        <v>21</v>
      </c>
      <c r="C426" s="6">
        <v>199753.5</v>
      </c>
      <c r="D426" s="6">
        <v>20535733.5</v>
      </c>
      <c r="E426" s="7">
        <f>VLOOKUP(A426,Лист2!$A$2:$E$505,3)</f>
        <v>7</v>
      </c>
      <c r="F426" s="7">
        <f>VLOOKUP(A426,Лист2!$A$2:$E$505,4)</f>
        <v>420</v>
      </c>
      <c r="G426" s="7">
        <f>VLOOKUP(A426,Лист2!$A$2:$E$505,5)</f>
        <v>347</v>
      </c>
      <c r="H426">
        <f>D426/E426</f>
        <v>2933676.2142857141</v>
      </c>
      <c r="I426">
        <f>WEEKNUM(A426)</f>
        <v>22</v>
      </c>
    </row>
    <row r="427" spans="1:9" ht="14.25" customHeight="1" x14ac:dyDescent="0.3">
      <c r="A427" s="8">
        <v>43976</v>
      </c>
      <c r="B427" s="9" t="s">
        <v>22</v>
      </c>
      <c r="C427" s="9">
        <v>192948</v>
      </c>
      <c r="D427" s="9">
        <v>19806927</v>
      </c>
      <c r="E427" s="7">
        <f>VLOOKUP(A427,Лист2!$A$2:$E$505,3)</f>
        <v>10</v>
      </c>
      <c r="F427" s="7">
        <f>VLOOKUP(A427,Лист2!$A$2:$E$505,4)</f>
        <v>739</v>
      </c>
      <c r="G427" s="7">
        <f>VLOOKUP(A427,Лист2!$A$2:$E$505,5)</f>
        <v>642</v>
      </c>
      <c r="H427">
        <f>D427/E427</f>
        <v>1980692.7</v>
      </c>
      <c r="I427">
        <f>WEEKNUM(A427)</f>
        <v>22</v>
      </c>
    </row>
    <row r="428" spans="1:9" ht="14.25" customHeight="1" x14ac:dyDescent="0.3">
      <c r="A428" s="5">
        <v>43975</v>
      </c>
      <c r="B428" s="6" t="s">
        <v>22</v>
      </c>
      <c r="C428" s="6">
        <v>193719</v>
      </c>
      <c r="D428" s="6">
        <v>19071117</v>
      </c>
      <c r="E428" s="7">
        <f>VLOOKUP(A428,Лист2!$A$2:$E$505,3)</f>
        <v>10</v>
      </c>
      <c r="F428" s="7">
        <f>VLOOKUP(A428,Лист2!$A$2:$E$505,4)</f>
        <v>639</v>
      </c>
      <c r="G428" s="7">
        <f>VLOOKUP(A428,Лист2!$A$2:$E$505,5)</f>
        <v>557</v>
      </c>
      <c r="H428">
        <f>D428/E428</f>
        <v>1907111.7</v>
      </c>
      <c r="I428">
        <f>WEEKNUM(A428)</f>
        <v>22</v>
      </c>
    </row>
    <row r="429" spans="1:9" ht="14.25" customHeight="1" x14ac:dyDescent="0.3">
      <c r="A429" s="18">
        <v>43981</v>
      </c>
      <c r="B429" s="20" t="s">
        <v>22</v>
      </c>
      <c r="C429" s="20">
        <v>244734</v>
      </c>
      <c r="D429" s="20">
        <v>24151980</v>
      </c>
      <c r="E429" s="7">
        <f>VLOOKUP(A429,Лист2!$A$2:$E$505,3)</f>
        <v>7</v>
      </c>
      <c r="F429" s="7">
        <f>VLOOKUP(A429,Лист2!$A$2:$E$505,4)</f>
        <v>532</v>
      </c>
      <c r="G429" s="7">
        <f>VLOOKUP(A429,Лист2!$A$2:$E$505,5)</f>
        <v>449</v>
      </c>
      <c r="H429">
        <f>D429/E429</f>
        <v>3450282.8571428573</v>
      </c>
      <c r="I429">
        <f>WEEKNUM(A429)</f>
        <v>22</v>
      </c>
    </row>
    <row r="430" spans="1:9" ht="14.25" customHeight="1" x14ac:dyDescent="0.3">
      <c r="A430" s="17">
        <v>43979</v>
      </c>
      <c r="B430" s="19" t="s">
        <v>22</v>
      </c>
      <c r="C430" s="19">
        <v>191641.5</v>
      </c>
      <c r="D430" s="19">
        <v>19549036.5</v>
      </c>
      <c r="E430" s="7">
        <f>VLOOKUP(A430,Лист2!$A$2:$E$505,3)</f>
        <v>7</v>
      </c>
      <c r="F430" s="7">
        <f>VLOOKUP(A430,Лист2!$A$2:$E$505,4)</f>
        <v>420</v>
      </c>
      <c r="G430" s="7">
        <f>VLOOKUP(A430,Лист2!$A$2:$E$505,5)</f>
        <v>347</v>
      </c>
      <c r="H430">
        <f>D430/E430</f>
        <v>2792719.5</v>
      </c>
      <c r="I430">
        <f>WEEKNUM(A430)</f>
        <v>22</v>
      </c>
    </row>
    <row r="431" spans="1:9" ht="14.25" customHeight="1" x14ac:dyDescent="0.3">
      <c r="A431" s="18">
        <v>43977</v>
      </c>
      <c r="B431" s="20" t="s">
        <v>24</v>
      </c>
      <c r="C431" s="20">
        <v>10437</v>
      </c>
      <c r="D431" s="20">
        <v>833815.5</v>
      </c>
      <c r="E431" s="7">
        <f>VLOOKUP(A431,Лист2!$A$2:$E$505,3)</f>
        <v>7</v>
      </c>
      <c r="F431" s="7">
        <f>VLOOKUP(A431,Лист2!$A$2:$E$505,4)</f>
        <v>577</v>
      </c>
      <c r="G431" s="7">
        <f>VLOOKUP(A431,Лист2!$A$2:$E$505,5)</f>
        <v>389</v>
      </c>
      <c r="H431">
        <f>D431/E431</f>
        <v>119116.5</v>
      </c>
      <c r="I431">
        <f>WEEKNUM(A431)</f>
        <v>22</v>
      </c>
    </row>
    <row r="432" spans="1:9" ht="14.25" customHeight="1" x14ac:dyDescent="0.3">
      <c r="A432" s="5">
        <v>43976</v>
      </c>
      <c r="B432" s="6" t="s">
        <v>23</v>
      </c>
      <c r="C432" s="6">
        <v>15807</v>
      </c>
      <c r="D432" s="6">
        <v>1326705</v>
      </c>
      <c r="E432" s="7">
        <f>VLOOKUP(A432,Лист2!$A$2:$E$505,3)</f>
        <v>10</v>
      </c>
      <c r="F432" s="7">
        <f>VLOOKUP(A432,Лист2!$A$2:$E$505,4)</f>
        <v>739</v>
      </c>
      <c r="G432" s="7">
        <f>VLOOKUP(A432,Лист2!$A$2:$E$505,5)</f>
        <v>642</v>
      </c>
      <c r="H432">
        <f>D432/E432</f>
        <v>132670.5</v>
      </c>
      <c r="I432">
        <f>WEEKNUM(A432)</f>
        <v>22</v>
      </c>
    </row>
    <row r="433" spans="1:9" ht="14.25" customHeight="1" x14ac:dyDescent="0.3">
      <c r="A433" s="8">
        <v>43975</v>
      </c>
      <c r="B433" s="9" t="s">
        <v>23</v>
      </c>
      <c r="C433" s="9">
        <v>17197.5</v>
      </c>
      <c r="D433" s="9">
        <v>1386262.5</v>
      </c>
      <c r="E433" s="7">
        <f>VLOOKUP(A433,Лист2!$A$2:$E$505,3)</f>
        <v>10</v>
      </c>
      <c r="F433" s="7">
        <f>VLOOKUP(A433,Лист2!$A$2:$E$505,4)</f>
        <v>639</v>
      </c>
      <c r="G433" s="7">
        <f>VLOOKUP(A433,Лист2!$A$2:$E$505,5)</f>
        <v>557</v>
      </c>
      <c r="H433">
        <f>D433/E433</f>
        <v>138626.25</v>
      </c>
      <c r="I433">
        <f>WEEKNUM(A433)</f>
        <v>22</v>
      </c>
    </row>
    <row r="434" spans="1:9" ht="14.25" customHeight="1" x14ac:dyDescent="0.3">
      <c r="A434" s="5">
        <v>43977</v>
      </c>
      <c r="B434" s="6" t="s">
        <v>23</v>
      </c>
      <c r="C434" s="6">
        <v>14419.5</v>
      </c>
      <c r="D434" s="6">
        <v>1210456.5</v>
      </c>
      <c r="E434" s="7">
        <f>VLOOKUP(A434,Лист2!$A$2:$E$505,3)</f>
        <v>7</v>
      </c>
      <c r="F434" s="7">
        <f>VLOOKUP(A434,Лист2!$A$2:$E$505,4)</f>
        <v>577</v>
      </c>
      <c r="G434" s="7">
        <f>VLOOKUP(A434,Лист2!$A$2:$E$505,5)</f>
        <v>389</v>
      </c>
      <c r="H434">
        <f>D434/E434</f>
        <v>172922.35714285713</v>
      </c>
      <c r="I434">
        <f>WEEKNUM(A434)</f>
        <v>22</v>
      </c>
    </row>
    <row r="435" spans="1:9" ht="14.25" customHeight="1" x14ac:dyDescent="0.3">
      <c r="A435" s="8">
        <v>43981</v>
      </c>
      <c r="B435" s="9" t="s">
        <v>24</v>
      </c>
      <c r="C435" s="9">
        <v>11220</v>
      </c>
      <c r="D435" s="9">
        <v>928675.5</v>
      </c>
      <c r="E435" s="7">
        <f>VLOOKUP(A435,Лист2!$A$2:$E$505,3)</f>
        <v>7</v>
      </c>
      <c r="F435" s="7">
        <f>VLOOKUP(A435,Лист2!$A$2:$E$505,4)</f>
        <v>532</v>
      </c>
      <c r="G435" s="7">
        <f>VLOOKUP(A435,Лист2!$A$2:$E$505,5)</f>
        <v>449</v>
      </c>
      <c r="H435">
        <f>D435/E435</f>
        <v>132667.92857142858</v>
      </c>
      <c r="I435">
        <f>WEEKNUM(A435)</f>
        <v>22</v>
      </c>
    </row>
    <row r="436" spans="1:9" ht="14.25" customHeight="1" x14ac:dyDescent="0.3">
      <c r="A436" s="5">
        <v>43980</v>
      </c>
      <c r="B436" s="6" t="s">
        <v>9</v>
      </c>
      <c r="C436" s="6">
        <v>8350.5</v>
      </c>
      <c r="D436" s="6">
        <v>651237</v>
      </c>
      <c r="E436" s="7">
        <f>VLOOKUP(A436,Лист2!$A$2:$E$505,3)</f>
        <v>7</v>
      </c>
      <c r="F436" s="7">
        <f>VLOOKUP(A436,Лист2!$A$2:$E$505,4)</f>
        <v>491</v>
      </c>
      <c r="G436" s="7">
        <f>VLOOKUP(A436,Лист2!$A$2:$E$505,5)</f>
        <v>411</v>
      </c>
      <c r="H436">
        <f>D436/E436</f>
        <v>93033.857142857145</v>
      </c>
      <c r="I436">
        <f>WEEKNUM(A436)</f>
        <v>22</v>
      </c>
    </row>
    <row r="437" spans="1:9" ht="14.25" customHeight="1" x14ac:dyDescent="0.3">
      <c r="A437" s="8">
        <v>43979</v>
      </c>
      <c r="B437" s="9" t="s">
        <v>24</v>
      </c>
      <c r="C437" s="9">
        <v>8428.5</v>
      </c>
      <c r="D437" s="9">
        <v>694669.5</v>
      </c>
      <c r="E437" s="7">
        <f>VLOOKUP(A437,Лист2!$A$2:$E$505,3)</f>
        <v>7</v>
      </c>
      <c r="F437" s="7">
        <f>VLOOKUP(A437,Лист2!$A$2:$E$505,4)</f>
        <v>420</v>
      </c>
      <c r="G437" s="7">
        <f>VLOOKUP(A437,Лист2!$A$2:$E$505,5)</f>
        <v>347</v>
      </c>
      <c r="H437">
        <f>D437/E437</f>
        <v>99238.5</v>
      </c>
      <c r="I437">
        <f>WEEKNUM(A437)</f>
        <v>22</v>
      </c>
    </row>
    <row r="438" spans="1:9" ht="14.25" customHeight="1" x14ac:dyDescent="0.3">
      <c r="A438" s="5">
        <v>43978</v>
      </c>
      <c r="B438" s="6" t="s">
        <v>10</v>
      </c>
      <c r="C438" s="6">
        <v>32817</v>
      </c>
      <c r="D438" s="6">
        <v>3015751.5</v>
      </c>
      <c r="E438" s="7">
        <f>VLOOKUP(A438,Лист2!$A$2:$E$505,3)</f>
        <v>7</v>
      </c>
      <c r="F438" s="7">
        <f>VLOOKUP(A438,Лист2!$A$2:$E$505,4)</f>
        <v>409</v>
      </c>
      <c r="G438" s="7">
        <f>VLOOKUP(A438,Лист2!$A$2:$E$505,5)</f>
        <v>329</v>
      </c>
      <c r="H438">
        <f>D438/E438</f>
        <v>430821.64285714284</v>
      </c>
      <c r="I438">
        <f>WEEKNUM(A438)</f>
        <v>22</v>
      </c>
    </row>
    <row r="439" spans="1:9" ht="14.25" customHeight="1" x14ac:dyDescent="0.3">
      <c r="A439" s="18">
        <v>43981</v>
      </c>
      <c r="B439" s="20" t="s">
        <v>23</v>
      </c>
      <c r="C439" s="20">
        <v>20688</v>
      </c>
      <c r="D439" s="20">
        <v>1773154.5</v>
      </c>
      <c r="E439" s="7">
        <f>VLOOKUP(A439,Лист2!$A$2:$E$505,3)</f>
        <v>7</v>
      </c>
      <c r="F439" s="7">
        <f>VLOOKUP(A439,Лист2!$A$2:$E$505,4)</f>
        <v>532</v>
      </c>
      <c r="G439" s="7">
        <f>VLOOKUP(A439,Лист2!$A$2:$E$505,5)</f>
        <v>449</v>
      </c>
      <c r="H439">
        <f>D439/E439</f>
        <v>253307.78571428571</v>
      </c>
      <c r="I439">
        <f>WEEKNUM(A439)</f>
        <v>22</v>
      </c>
    </row>
    <row r="440" spans="1:9" ht="14.25" customHeight="1" x14ac:dyDescent="0.3">
      <c r="A440" s="17">
        <v>43979</v>
      </c>
      <c r="B440" s="19" t="s">
        <v>23</v>
      </c>
      <c r="C440" s="19">
        <v>15678</v>
      </c>
      <c r="D440" s="19">
        <v>1387443</v>
      </c>
      <c r="E440" s="7">
        <f>VLOOKUP(A440,Лист2!$A$2:$E$505,3)</f>
        <v>7</v>
      </c>
      <c r="F440" s="7">
        <f>VLOOKUP(A440,Лист2!$A$2:$E$505,4)</f>
        <v>420</v>
      </c>
      <c r="G440" s="7">
        <f>VLOOKUP(A440,Лист2!$A$2:$E$505,5)</f>
        <v>347</v>
      </c>
      <c r="H440">
        <f>D440/E440</f>
        <v>198206.14285714287</v>
      </c>
      <c r="I440">
        <f>WEEKNUM(A440)</f>
        <v>22</v>
      </c>
    </row>
    <row r="441" spans="1:9" ht="14.25" customHeight="1" x14ac:dyDescent="0.3">
      <c r="A441" s="8">
        <v>43980</v>
      </c>
      <c r="B441" s="9" t="s">
        <v>10</v>
      </c>
      <c r="C441" s="9">
        <v>35431.5</v>
      </c>
      <c r="D441" s="9">
        <v>3193167</v>
      </c>
      <c r="E441" s="7">
        <f>VLOOKUP(A441,Лист2!$A$2:$E$505,3)</f>
        <v>7</v>
      </c>
      <c r="F441" s="7">
        <f>VLOOKUP(A441,Лист2!$A$2:$E$505,4)</f>
        <v>491</v>
      </c>
      <c r="G441" s="7">
        <f>VLOOKUP(A441,Лист2!$A$2:$E$505,5)</f>
        <v>411</v>
      </c>
      <c r="H441">
        <f>D441/E441</f>
        <v>456166.71428571426</v>
      </c>
      <c r="I441">
        <f>WEEKNUM(A441)</f>
        <v>22</v>
      </c>
    </row>
    <row r="442" spans="1:9" ht="14.25" customHeight="1" x14ac:dyDescent="0.3">
      <c r="A442" s="5">
        <v>43978</v>
      </c>
      <c r="B442" s="6" t="s">
        <v>11</v>
      </c>
      <c r="C442" s="6">
        <v>78544.5</v>
      </c>
      <c r="D442" s="6">
        <v>6701083.5</v>
      </c>
      <c r="E442" s="7">
        <f>VLOOKUP(A442,Лист2!$A$2:$E$505,3)</f>
        <v>7</v>
      </c>
      <c r="F442" s="7">
        <f>VLOOKUP(A442,Лист2!$A$2:$E$505,4)</f>
        <v>409</v>
      </c>
      <c r="G442" s="7">
        <f>VLOOKUP(A442,Лист2!$A$2:$E$505,5)</f>
        <v>329</v>
      </c>
      <c r="H442">
        <f>D442/E442</f>
        <v>957297.64285714284</v>
      </c>
      <c r="I442">
        <f>WEEKNUM(A442)</f>
        <v>22</v>
      </c>
    </row>
    <row r="443" spans="1:9" ht="14.25" customHeight="1" x14ac:dyDescent="0.3">
      <c r="A443" s="18">
        <v>43978</v>
      </c>
      <c r="B443" s="20" t="s">
        <v>12</v>
      </c>
      <c r="C443" s="20">
        <v>12490.5</v>
      </c>
      <c r="D443" s="20">
        <v>1054798.5</v>
      </c>
      <c r="E443" s="7">
        <f>VLOOKUP(A443,Лист2!$A$2:$E$505,3)</f>
        <v>7</v>
      </c>
      <c r="F443" s="7">
        <f>VLOOKUP(A443,Лист2!$A$2:$E$505,4)</f>
        <v>409</v>
      </c>
      <c r="G443" s="7">
        <f>VLOOKUP(A443,Лист2!$A$2:$E$505,5)</f>
        <v>329</v>
      </c>
      <c r="H443">
        <f>D443/E443</f>
        <v>150685.5</v>
      </c>
      <c r="I443">
        <f>WEEKNUM(A443)</f>
        <v>22</v>
      </c>
    </row>
    <row r="444" spans="1:9" ht="14.25" customHeight="1" x14ac:dyDescent="0.3">
      <c r="A444" s="5">
        <v>43980</v>
      </c>
      <c r="B444" s="6" t="s">
        <v>11</v>
      </c>
      <c r="C444" s="6">
        <v>87552</v>
      </c>
      <c r="D444" s="6">
        <v>7387116</v>
      </c>
      <c r="E444" s="7">
        <f>VLOOKUP(A444,Лист2!$A$2:$E$505,3)</f>
        <v>7</v>
      </c>
      <c r="F444" s="7">
        <f>VLOOKUP(A444,Лист2!$A$2:$E$505,4)</f>
        <v>491</v>
      </c>
      <c r="G444" s="7">
        <f>VLOOKUP(A444,Лист2!$A$2:$E$505,5)</f>
        <v>411</v>
      </c>
      <c r="H444">
        <f>D444/E444</f>
        <v>1055302.2857142857</v>
      </c>
      <c r="I444">
        <f>WEEKNUM(A444)</f>
        <v>22</v>
      </c>
    </row>
    <row r="445" spans="1:9" ht="14.25" customHeight="1" x14ac:dyDescent="0.3">
      <c r="A445" s="18">
        <v>43980</v>
      </c>
      <c r="B445" s="20" t="s">
        <v>12</v>
      </c>
      <c r="C445" s="20">
        <v>14823</v>
      </c>
      <c r="D445" s="20">
        <v>1273464</v>
      </c>
      <c r="E445" s="7">
        <f>VLOOKUP(A445,Лист2!$A$2:$E$505,3)</f>
        <v>7</v>
      </c>
      <c r="F445" s="7">
        <f>VLOOKUP(A445,Лист2!$A$2:$E$505,4)</f>
        <v>491</v>
      </c>
      <c r="G445" s="7">
        <f>VLOOKUP(A445,Лист2!$A$2:$E$505,5)</f>
        <v>411</v>
      </c>
      <c r="H445">
        <f>D445/E445</f>
        <v>181923.42857142858</v>
      </c>
      <c r="I445">
        <f>WEEKNUM(A445)</f>
        <v>22</v>
      </c>
    </row>
    <row r="446" spans="1:9" ht="14.25" customHeight="1" x14ac:dyDescent="0.3">
      <c r="A446" s="17">
        <v>43978</v>
      </c>
      <c r="B446" s="19" t="s">
        <v>13</v>
      </c>
      <c r="C446" s="19">
        <v>31257</v>
      </c>
      <c r="D446" s="19">
        <v>2924133</v>
      </c>
      <c r="E446" s="7">
        <f>VLOOKUP(A446,Лист2!$A$2:$E$505,3)</f>
        <v>7</v>
      </c>
      <c r="F446" s="7">
        <f>VLOOKUP(A446,Лист2!$A$2:$E$505,4)</f>
        <v>409</v>
      </c>
      <c r="G446" s="7">
        <f>VLOOKUP(A446,Лист2!$A$2:$E$505,5)</f>
        <v>329</v>
      </c>
      <c r="H446">
        <f>D446/E446</f>
        <v>417733.28571428574</v>
      </c>
      <c r="I446">
        <f>WEEKNUM(A446)</f>
        <v>22</v>
      </c>
    </row>
    <row r="447" spans="1:9" ht="14.25" customHeight="1" x14ac:dyDescent="0.3">
      <c r="A447" s="18">
        <v>43980</v>
      </c>
      <c r="B447" s="20" t="s">
        <v>13</v>
      </c>
      <c r="C447" s="20">
        <v>35346</v>
      </c>
      <c r="D447" s="20">
        <v>3258054</v>
      </c>
      <c r="E447" s="7">
        <f>VLOOKUP(A447,Лист2!$A$2:$E$505,3)</f>
        <v>7</v>
      </c>
      <c r="F447" s="7">
        <f>VLOOKUP(A447,Лист2!$A$2:$E$505,4)</f>
        <v>491</v>
      </c>
      <c r="G447" s="7">
        <f>VLOOKUP(A447,Лист2!$A$2:$E$505,5)</f>
        <v>411</v>
      </c>
      <c r="H447">
        <f>D447/E447</f>
        <v>465436.28571428574</v>
      </c>
      <c r="I447">
        <f>WEEKNUM(A447)</f>
        <v>22</v>
      </c>
    </row>
    <row r="448" spans="1:9" ht="14.25" customHeight="1" x14ac:dyDescent="0.3">
      <c r="A448" s="17">
        <v>43978</v>
      </c>
      <c r="B448" s="19" t="s">
        <v>14</v>
      </c>
      <c r="C448" s="19">
        <v>286558.5</v>
      </c>
      <c r="D448" s="19">
        <v>29256993</v>
      </c>
      <c r="E448" s="7">
        <f>VLOOKUP(A448,Лист2!$A$2:$E$505,3)</f>
        <v>7</v>
      </c>
      <c r="F448" s="7">
        <f>VLOOKUP(A448,Лист2!$A$2:$E$505,4)</f>
        <v>409</v>
      </c>
      <c r="G448" s="7">
        <f>VLOOKUP(A448,Лист2!$A$2:$E$505,5)</f>
        <v>329</v>
      </c>
      <c r="H448">
        <f>D448/E448</f>
        <v>4179570.4285714286</v>
      </c>
      <c r="I448">
        <f>WEEKNUM(A448)</f>
        <v>22</v>
      </c>
    </row>
    <row r="449" spans="1:9" ht="14.25" customHeight="1" x14ac:dyDescent="0.3">
      <c r="A449" s="18">
        <v>43978</v>
      </c>
      <c r="B449" s="20" t="s">
        <v>15</v>
      </c>
      <c r="C449" s="20">
        <v>370012.5</v>
      </c>
      <c r="D449" s="20">
        <v>39034861.5</v>
      </c>
      <c r="E449" s="7">
        <f>VLOOKUP(A449,Лист2!$A$2:$E$505,3)</f>
        <v>7</v>
      </c>
      <c r="F449" s="7">
        <f>VLOOKUP(A449,Лист2!$A$2:$E$505,4)</f>
        <v>409</v>
      </c>
      <c r="G449" s="7">
        <f>VLOOKUP(A449,Лист2!$A$2:$E$505,5)</f>
        <v>329</v>
      </c>
      <c r="H449">
        <f>D449/E449</f>
        <v>5576408.7857142854</v>
      </c>
      <c r="I449">
        <f>WEEKNUM(A449)</f>
        <v>22</v>
      </c>
    </row>
    <row r="450" spans="1:9" ht="14.25" customHeight="1" x14ac:dyDescent="0.3">
      <c r="A450" s="5">
        <v>43980</v>
      </c>
      <c r="B450" s="6" t="s">
        <v>14</v>
      </c>
      <c r="C450" s="6">
        <v>422965.5</v>
      </c>
      <c r="D450" s="6">
        <v>41767140.105000004</v>
      </c>
      <c r="E450" s="7">
        <f>VLOOKUP(A450,Лист2!$A$2:$E$505,3)</f>
        <v>7</v>
      </c>
      <c r="F450" s="7">
        <f>VLOOKUP(A450,Лист2!$A$2:$E$505,4)</f>
        <v>491</v>
      </c>
      <c r="G450" s="7">
        <f>VLOOKUP(A450,Лист2!$A$2:$E$505,5)</f>
        <v>411</v>
      </c>
      <c r="H450">
        <f>D450/E450</f>
        <v>5966734.300714286</v>
      </c>
      <c r="I450">
        <f>WEEKNUM(A450)</f>
        <v>22</v>
      </c>
    </row>
    <row r="451" spans="1:9" ht="14.25" customHeight="1" x14ac:dyDescent="0.3">
      <c r="A451" s="18">
        <v>43978</v>
      </c>
      <c r="B451" s="20" t="s">
        <v>16</v>
      </c>
      <c r="C451" s="20">
        <v>69010.5</v>
      </c>
      <c r="D451" s="20">
        <v>5985894</v>
      </c>
      <c r="E451" s="7">
        <f>VLOOKUP(A451,Лист2!$A$2:$E$505,3)</f>
        <v>7</v>
      </c>
      <c r="F451" s="7">
        <f>VLOOKUP(A451,Лист2!$A$2:$E$505,4)</f>
        <v>409</v>
      </c>
      <c r="G451" s="7">
        <f>VLOOKUP(A451,Лист2!$A$2:$E$505,5)</f>
        <v>329</v>
      </c>
      <c r="H451">
        <f>D451/E451</f>
        <v>855127.71428571432</v>
      </c>
      <c r="I451">
        <f>WEEKNUM(A451)</f>
        <v>22</v>
      </c>
    </row>
    <row r="452" spans="1:9" ht="14.25" customHeight="1" x14ac:dyDescent="0.3">
      <c r="A452" s="5">
        <v>43980</v>
      </c>
      <c r="B452" s="6" t="s">
        <v>15</v>
      </c>
      <c r="C452" s="6">
        <v>524481</v>
      </c>
      <c r="D452" s="6">
        <v>54172029</v>
      </c>
      <c r="E452" s="7">
        <f>VLOOKUP(A452,Лист2!$A$2:$E$505,3)</f>
        <v>7</v>
      </c>
      <c r="F452" s="7">
        <f>VLOOKUP(A452,Лист2!$A$2:$E$505,4)</f>
        <v>491</v>
      </c>
      <c r="G452" s="7">
        <f>VLOOKUP(A452,Лист2!$A$2:$E$505,5)</f>
        <v>411</v>
      </c>
      <c r="H452">
        <f>D452/E452</f>
        <v>7738861.2857142854</v>
      </c>
      <c r="I452">
        <f>WEEKNUM(A452)</f>
        <v>22</v>
      </c>
    </row>
    <row r="453" spans="1:9" ht="14.25" customHeight="1" x14ac:dyDescent="0.3">
      <c r="A453" s="18">
        <v>43978</v>
      </c>
      <c r="B453" s="20" t="s">
        <v>17</v>
      </c>
      <c r="C453" s="20">
        <v>40420.5</v>
      </c>
      <c r="D453" s="20">
        <v>3780852</v>
      </c>
      <c r="E453" s="7">
        <f>VLOOKUP(A453,Лист2!$A$2:$E$505,3)</f>
        <v>7</v>
      </c>
      <c r="F453" s="7">
        <f>VLOOKUP(A453,Лист2!$A$2:$E$505,4)</f>
        <v>409</v>
      </c>
      <c r="G453" s="7">
        <f>VLOOKUP(A453,Лист2!$A$2:$E$505,5)</f>
        <v>329</v>
      </c>
      <c r="H453">
        <f>D453/E453</f>
        <v>540121.71428571432</v>
      </c>
      <c r="I453">
        <f>WEEKNUM(A453)</f>
        <v>22</v>
      </c>
    </row>
    <row r="454" spans="1:9" ht="14.25" customHeight="1" x14ac:dyDescent="0.3">
      <c r="A454" s="5">
        <v>43980</v>
      </c>
      <c r="B454" s="6" t="s">
        <v>16</v>
      </c>
      <c r="C454" s="6">
        <v>84433.5</v>
      </c>
      <c r="D454" s="6">
        <v>7228395</v>
      </c>
      <c r="E454" s="7">
        <f>VLOOKUP(A454,Лист2!$A$2:$E$505,3)</f>
        <v>7</v>
      </c>
      <c r="F454" s="7">
        <f>VLOOKUP(A454,Лист2!$A$2:$E$505,4)</f>
        <v>491</v>
      </c>
      <c r="G454" s="7">
        <f>VLOOKUP(A454,Лист2!$A$2:$E$505,5)</f>
        <v>411</v>
      </c>
      <c r="H454">
        <f>D454/E454</f>
        <v>1032627.8571428572</v>
      </c>
      <c r="I454">
        <f>WEEKNUM(A454)</f>
        <v>22</v>
      </c>
    </row>
    <row r="455" spans="1:9" ht="14.25" customHeight="1" x14ac:dyDescent="0.3">
      <c r="A455" s="18">
        <v>43980</v>
      </c>
      <c r="B455" s="20" t="s">
        <v>17</v>
      </c>
      <c r="C455" s="20">
        <v>44569.5</v>
      </c>
      <c r="D455" s="20">
        <v>4108596</v>
      </c>
      <c r="E455" s="7">
        <f>VLOOKUP(A455,Лист2!$A$2:$E$505,3)</f>
        <v>7</v>
      </c>
      <c r="F455" s="7">
        <f>VLOOKUP(A455,Лист2!$A$2:$E$505,4)</f>
        <v>491</v>
      </c>
      <c r="G455" s="7">
        <f>VLOOKUP(A455,Лист2!$A$2:$E$505,5)</f>
        <v>411</v>
      </c>
      <c r="H455">
        <f>D455/E455</f>
        <v>586942.28571428568</v>
      </c>
      <c r="I455">
        <f>WEEKNUM(A455)</f>
        <v>22</v>
      </c>
    </row>
    <row r="456" spans="1:9" ht="14.25" customHeight="1" x14ac:dyDescent="0.3">
      <c r="A456" s="17">
        <v>43978</v>
      </c>
      <c r="B456" s="19" t="s">
        <v>18</v>
      </c>
      <c r="C456" s="19">
        <v>18069</v>
      </c>
      <c r="D456" s="19">
        <v>1603084.5</v>
      </c>
      <c r="E456" s="7">
        <f>VLOOKUP(A456,Лист2!$A$2:$E$505,3)</f>
        <v>7</v>
      </c>
      <c r="F456" s="7">
        <f>VLOOKUP(A456,Лист2!$A$2:$E$505,4)</f>
        <v>409</v>
      </c>
      <c r="G456" s="7">
        <f>VLOOKUP(A456,Лист2!$A$2:$E$505,5)</f>
        <v>329</v>
      </c>
      <c r="H456">
        <f>D456/E456</f>
        <v>229012.07142857142</v>
      </c>
      <c r="I456">
        <f>WEEKNUM(A456)</f>
        <v>22</v>
      </c>
    </row>
    <row r="457" spans="1:9" ht="14.25" customHeight="1" x14ac:dyDescent="0.3">
      <c r="A457" s="18">
        <v>43978</v>
      </c>
      <c r="B457" s="20" t="s">
        <v>19</v>
      </c>
      <c r="C457" s="20">
        <v>13203</v>
      </c>
      <c r="D457" s="20">
        <v>1211457</v>
      </c>
      <c r="E457" s="7">
        <f>VLOOKUP(A457,Лист2!$A$2:$E$505,3)</f>
        <v>7</v>
      </c>
      <c r="F457" s="7">
        <f>VLOOKUP(A457,Лист2!$A$2:$E$505,4)</f>
        <v>409</v>
      </c>
      <c r="G457" s="7">
        <f>VLOOKUP(A457,Лист2!$A$2:$E$505,5)</f>
        <v>329</v>
      </c>
      <c r="H457">
        <f>D457/E457</f>
        <v>173065.28571428571</v>
      </c>
      <c r="I457">
        <f>WEEKNUM(A457)</f>
        <v>22</v>
      </c>
    </row>
    <row r="458" spans="1:9" ht="14.25" customHeight="1" x14ac:dyDescent="0.3">
      <c r="A458" s="5">
        <v>43980</v>
      </c>
      <c r="B458" s="6" t="s">
        <v>18</v>
      </c>
      <c r="C458" s="6">
        <v>19647</v>
      </c>
      <c r="D458" s="6">
        <v>1764669</v>
      </c>
      <c r="E458" s="7">
        <f>VLOOKUP(A458,Лист2!$A$2:$E$505,3)</f>
        <v>7</v>
      </c>
      <c r="F458" s="7">
        <f>VLOOKUP(A458,Лист2!$A$2:$E$505,4)</f>
        <v>491</v>
      </c>
      <c r="G458" s="7">
        <f>VLOOKUP(A458,Лист2!$A$2:$E$505,5)</f>
        <v>411</v>
      </c>
      <c r="H458">
        <f>D458/E458</f>
        <v>252095.57142857142</v>
      </c>
      <c r="I458">
        <f>WEEKNUM(A458)</f>
        <v>22</v>
      </c>
    </row>
    <row r="459" spans="1:9" ht="14.25" customHeight="1" x14ac:dyDescent="0.3">
      <c r="A459" s="18">
        <v>43978</v>
      </c>
      <c r="B459" s="20" t="s">
        <v>20</v>
      </c>
      <c r="C459" s="20">
        <v>28050</v>
      </c>
      <c r="D459" s="20">
        <v>2458555.5</v>
      </c>
      <c r="E459" s="7">
        <f>VLOOKUP(A459,Лист2!$A$2:$E$505,3)</f>
        <v>7</v>
      </c>
      <c r="F459" s="7">
        <f>VLOOKUP(A459,Лист2!$A$2:$E$505,4)</f>
        <v>409</v>
      </c>
      <c r="G459" s="7">
        <f>VLOOKUP(A459,Лист2!$A$2:$E$505,5)</f>
        <v>329</v>
      </c>
      <c r="H459">
        <f>D459/E459</f>
        <v>351222.21428571426</v>
      </c>
      <c r="I459">
        <f>WEEKNUM(A459)</f>
        <v>22</v>
      </c>
    </row>
    <row r="460" spans="1:9" ht="14.25" customHeight="1" x14ac:dyDescent="0.3">
      <c r="A460" s="5">
        <v>43980</v>
      </c>
      <c r="B460" s="6" t="s">
        <v>19</v>
      </c>
      <c r="C460" s="6">
        <v>17052</v>
      </c>
      <c r="D460" s="6">
        <v>1549020</v>
      </c>
      <c r="E460" s="7">
        <f>VLOOKUP(A460,Лист2!$A$2:$E$505,3)</f>
        <v>7</v>
      </c>
      <c r="F460" s="7">
        <f>VLOOKUP(A460,Лист2!$A$2:$E$505,4)</f>
        <v>491</v>
      </c>
      <c r="G460" s="7">
        <f>VLOOKUP(A460,Лист2!$A$2:$E$505,5)</f>
        <v>411</v>
      </c>
      <c r="H460">
        <f>D460/E460</f>
        <v>221288.57142857142</v>
      </c>
      <c r="I460">
        <f>WEEKNUM(A460)</f>
        <v>22</v>
      </c>
    </row>
    <row r="461" spans="1:9" ht="14.25" customHeight="1" x14ac:dyDescent="0.3">
      <c r="A461" s="18">
        <v>43980</v>
      </c>
      <c r="B461" s="20" t="s">
        <v>20</v>
      </c>
      <c r="C461" s="20">
        <v>32782.5</v>
      </c>
      <c r="D461" s="20">
        <v>2854741.5</v>
      </c>
      <c r="E461" s="7">
        <f>VLOOKUP(A461,Лист2!$A$2:$E$505,3)</f>
        <v>7</v>
      </c>
      <c r="F461" s="7">
        <f>VLOOKUP(A461,Лист2!$A$2:$E$505,4)</f>
        <v>491</v>
      </c>
      <c r="G461" s="7">
        <f>VLOOKUP(A461,Лист2!$A$2:$E$505,5)</f>
        <v>411</v>
      </c>
      <c r="H461">
        <f>D461/E461</f>
        <v>407820.21428571426</v>
      </c>
      <c r="I461">
        <f>WEEKNUM(A461)</f>
        <v>22</v>
      </c>
    </row>
    <row r="462" spans="1:9" ht="14.25" customHeight="1" x14ac:dyDescent="0.3">
      <c r="A462" s="17">
        <v>43978</v>
      </c>
      <c r="B462" s="19" t="s">
        <v>21</v>
      </c>
      <c r="C462" s="19">
        <v>215592</v>
      </c>
      <c r="D462" s="19">
        <v>22342300.5</v>
      </c>
      <c r="E462" s="7">
        <f>VLOOKUP(A462,Лист2!$A$2:$E$505,3)</f>
        <v>7</v>
      </c>
      <c r="F462" s="7">
        <f>VLOOKUP(A462,Лист2!$A$2:$E$505,4)</f>
        <v>409</v>
      </c>
      <c r="G462" s="7">
        <f>VLOOKUP(A462,Лист2!$A$2:$E$505,5)</f>
        <v>329</v>
      </c>
      <c r="H462">
        <f>D462/E462</f>
        <v>3191757.2142857141</v>
      </c>
      <c r="I462">
        <f>WEEKNUM(A462)</f>
        <v>22</v>
      </c>
    </row>
    <row r="463" spans="1:9" ht="14.25" customHeight="1" x14ac:dyDescent="0.3">
      <c r="A463" s="18">
        <v>43978</v>
      </c>
      <c r="B463" s="20" t="s">
        <v>22</v>
      </c>
      <c r="C463" s="20">
        <v>203532</v>
      </c>
      <c r="D463" s="20">
        <v>20953324.5</v>
      </c>
      <c r="E463" s="7">
        <f>VLOOKUP(A463,Лист2!$A$2:$E$505,3)</f>
        <v>7</v>
      </c>
      <c r="F463" s="7">
        <f>VLOOKUP(A463,Лист2!$A$2:$E$505,4)</f>
        <v>409</v>
      </c>
      <c r="G463" s="7">
        <f>VLOOKUP(A463,Лист2!$A$2:$E$505,5)</f>
        <v>329</v>
      </c>
      <c r="H463">
        <f>D463/E463</f>
        <v>2993332.0714285714</v>
      </c>
      <c r="I463">
        <f>WEEKNUM(A463)</f>
        <v>22</v>
      </c>
    </row>
    <row r="464" spans="1:9" ht="14.25" customHeight="1" x14ac:dyDescent="0.3">
      <c r="A464" s="5">
        <v>43980</v>
      </c>
      <c r="B464" s="6" t="s">
        <v>21</v>
      </c>
      <c r="C464" s="6">
        <v>232102.5</v>
      </c>
      <c r="D464" s="6">
        <v>23120443.5</v>
      </c>
      <c r="E464" s="7">
        <f>VLOOKUP(A464,Лист2!$A$2:$E$505,3)</f>
        <v>7</v>
      </c>
      <c r="F464" s="7">
        <f>VLOOKUP(A464,Лист2!$A$2:$E$505,4)</f>
        <v>491</v>
      </c>
      <c r="G464" s="7">
        <f>VLOOKUP(A464,Лист2!$A$2:$E$505,5)</f>
        <v>411</v>
      </c>
      <c r="H464">
        <f>D464/E464</f>
        <v>3302920.5</v>
      </c>
      <c r="I464">
        <f>WEEKNUM(A464)</f>
        <v>22</v>
      </c>
    </row>
    <row r="465" spans="1:9" ht="14.25" customHeight="1" x14ac:dyDescent="0.3">
      <c r="A465" s="18">
        <v>43980</v>
      </c>
      <c r="B465" s="20" t="s">
        <v>22</v>
      </c>
      <c r="C465" s="20">
        <v>226476</v>
      </c>
      <c r="D465" s="20">
        <v>22416151.5</v>
      </c>
      <c r="E465" s="7">
        <f>VLOOKUP(A465,Лист2!$A$2:$E$505,3)</f>
        <v>7</v>
      </c>
      <c r="F465" s="7">
        <f>VLOOKUP(A465,Лист2!$A$2:$E$505,4)</f>
        <v>491</v>
      </c>
      <c r="G465" s="7">
        <f>VLOOKUP(A465,Лист2!$A$2:$E$505,5)</f>
        <v>411</v>
      </c>
      <c r="H465">
        <f>D465/E465</f>
        <v>3202307.3571428573</v>
      </c>
      <c r="I465">
        <f>WEEKNUM(A465)</f>
        <v>22</v>
      </c>
    </row>
    <row r="466" spans="1:9" ht="14.25" customHeight="1" x14ac:dyDescent="0.3">
      <c r="A466" s="17">
        <v>43978</v>
      </c>
      <c r="B466" s="19" t="s">
        <v>24</v>
      </c>
      <c r="C466" s="19">
        <v>8362.5</v>
      </c>
      <c r="D466" s="19">
        <v>687684</v>
      </c>
      <c r="E466" s="7">
        <f>VLOOKUP(A466,Лист2!$A$2:$E$505,3)</f>
        <v>7</v>
      </c>
      <c r="F466" s="7">
        <f>VLOOKUP(A466,Лист2!$A$2:$E$505,4)</f>
        <v>409</v>
      </c>
      <c r="G466" s="7">
        <f>VLOOKUP(A466,Лист2!$A$2:$E$505,5)</f>
        <v>329</v>
      </c>
      <c r="H466">
        <f>D466/E466</f>
        <v>98240.571428571435</v>
      </c>
      <c r="I466">
        <f>WEEKNUM(A466)</f>
        <v>22</v>
      </c>
    </row>
    <row r="467" spans="1:9" ht="14.25" customHeight="1" x14ac:dyDescent="0.3">
      <c r="A467" s="18">
        <v>43978</v>
      </c>
      <c r="B467" s="20" t="s">
        <v>23</v>
      </c>
      <c r="C467" s="20">
        <v>15276</v>
      </c>
      <c r="D467" s="20">
        <v>1350199.5</v>
      </c>
      <c r="E467" s="7">
        <f>VLOOKUP(A467,Лист2!$A$2:$E$505,3)</f>
        <v>7</v>
      </c>
      <c r="F467" s="7">
        <f>VLOOKUP(A467,Лист2!$A$2:$E$505,4)</f>
        <v>409</v>
      </c>
      <c r="G467" s="7">
        <f>VLOOKUP(A467,Лист2!$A$2:$E$505,5)</f>
        <v>329</v>
      </c>
      <c r="H467">
        <f>D467/E467</f>
        <v>192885.64285714287</v>
      </c>
      <c r="I467">
        <f>WEEKNUM(A467)</f>
        <v>22</v>
      </c>
    </row>
    <row r="468" spans="1:9" ht="14.25" customHeight="1" x14ac:dyDescent="0.3">
      <c r="A468" s="5">
        <v>43980</v>
      </c>
      <c r="B468" s="6" t="s">
        <v>24</v>
      </c>
      <c r="C468" s="6">
        <v>9927</v>
      </c>
      <c r="D468" s="6">
        <v>850840.5</v>
      </c>
      <c r="E468" s="7">
        <f>VLOOKUP(A468,Лист2!$A$2:$E$505,3)</f>
        <v>7</v>
      </c>
      <c r="F468" s="7">
        <f>VLOOKUP(A468,Лист2!$A$2:$E$505,4)</f>
        <v>491</v>
      </c>
      <c r="G468" s="7">
        <f>VLOOKUP(A468,Лист2!$A$2:$E$505,5)</f>
        <v>411</v>
      </c>
      <c r="H468">
        <f>D468/E468</f>
        <v>121548.64285714286</v>
      </c>
      <c r="I468">
        <f>WEEKNUM(A468)</f>
        <v>22</v>
      </c>
    </row>
    <row r="469" spans="1:9" ht="14.25" customHeight="1" x14ac:dyDescent="0.3">
      <c r="A469" s="18">
        <v>43980</v>
      </c>
      <c r="B469" s="20" t="s">
        <v>23</v>
      </c>
      <c r="C469" s="20">
        <v>16878</v>
      </c>
      <c r="D469" s="20">
        <v>1438255.5</v>
      </c>
      <c r="E469" s="7">
        <f>VLOOKUP(A469,Лист2!$A$2:$E$505,3)</f>
        <v>7</v>
      </c>
      <c r="F469" s="7">
        <f>VLOOKUP(A469,Лист2!$A$2:$E$505,4)</f>
        <v>491</v>
      </c>
      <c r="G469" s="7">
        <f>VLOOKUP(A469,Лист2!$A$2:$E$505,5)</f>
        <v>411</v>
      </c>
      <c r="H469">
        <f>D469/E469</f>
        <v>205465.07142857142</v>
      </c>
      <c r="I469">
        <f>WEEKNUM(A469)</f>
        <v>22</v>
      </c>
    </row>
    <row r="470" spans="1:9" ht="14.25" customHeight="1" x14ac:dyDescent="0.3">
      <c r="A470" s="5">
        <v>43982</v>
      </c>
      <c r="B470" s="6" t="s">
        <v>9</v>
      </c>
      <c r="C470" s="6">
        <v>7944</v>
      </c>
      <c r="D470" s="6">
        <v>623971.5</v>
      </c>
      <c r="E470" s="7">
        <f>VLOOKUP(A470,Лист2!$A$2:$E$505,3)</f>
        <v>6</v>
      </c>
      <c r="F470" s="7">
        <f>VLOOKUP(A470,Лист2!$A$2:$E$505,4)</f>
        <v>261</v>
      </c>
      <c r="G470" s="7">
        <f>VLOOKUP(A470,Лист2!$A$2:$E$505,5)</f>
        <v>188</v>
      </c>
      <c r="H470">
        <f>D470/E470</f>
        <v>103995.25</v>
      </c>
      <c r="I470">
        <f>WEEKNUM(A470)</f>
        <v>23</v>
      </c>
    </row>
    <row r="471" spans="1:9" ht="14.25" customHeight="1" x14ac:dyDescent="0.3">
      <c r="A471" s="8">
        <v>43982</v>
      </c>
      <c r="B471" s="9" t="s">
        <v>10</v>
      </c>
      <c r="C471" s="9">
        <v>36999</v>
      </c>
      <c r="D471" s="9">
        <v>3473895</v>
      </c>
      <c r="E471" s="7">
        <f>VLOOKUP(A471,Лист2!$A$2:$E$505,3)</f>
        <v>6</v>
      </c>
      <c r="F471" s="7">
        <f>VLOOKUP(A471,Лист2!$A$2:$E$505,4)</f>
        <v>261</v>
      </c>
      <c r="G471" s="7">
        <f>VLOOKUP(A471,Лист2!$A$2:$E$505,5)</f>
        <v>188</v>
      </c>
      <c r="H471">
        <f>D471/E471</f>
        <v>578982.5</v>
      </c>
      <c r="I471">
        <f>WEEKNUM(A471)</f>
        <v>23</v>
      </c>
    </row>
    <row r="472" spans="1:9" ht="14.25" customHeight="1" x14ac:dyDescent="0.3">
      <c r="A472" s="17">
        <v>43982</v>
      </c>
      <c r="B472" s="19" t="s">
        <v>11</v>
      </c>
      <c r="C472" s="19">
        <v>89149.5</v>
      </c>
      <c r="D472" s="19">
        <v>7512646.5</v>
      </c>
      <c r="E472" s="7">
        <f>VLOOKUP(A472,Лист2!$A$2:$E$505,3)</f>
        <v>6</v>
      </c>
      <c r="F472" s="7">
        <f>VLOOKUP(A472,Лист2!$A$2:$E$505,4)</f>
        <v>261</v>
      </c>
      <c r="G472" s="7">
        <f>VLOOKUP(A472,Лист2!$A$2:$E$505,5)</f>
        <v>188</v>
      </c>
      <c r="H472">
        <f>D472/E472</f>
        <v>1252107.75</v>
      </c>
      <c r="I472">
        <f>WEEKNUM(A472)</f>
        <v>23</v>
      </c>
    </row>
    <row r="473" spans="1:9" ht="14.25" customHeight="1" x14ac:dyDescent="0.3">
      <c r="A473" s="8">
        <v>43982</v>
      </c>
      <c r="B473" s="9" t="s">
        <v>12</v>
      </c>
      <c r="C473" s="9">
        <v>12724.5</v>
      </c>
      <c r="D473" s="9">
        <v>1045515</v>
      </c>
      <c r="E473" s="7">
        <f>VLOOKUP(A473,Лист2!$A$2:$E$505,3)</f>
        <v>6</v>
      </c>
      <c r="F473" s="7">
        <f>VLOOKUP(A473,Лист2!$A$2:$E$505,4)</f>
        <v>261</v>
      </c>
      <c r="G473" s="7">
        <f>VLOOKUP(A473,Лист2!$A$2:$E$505,5)</f>
        <v>188</v>
      </c>
      <c r="H473">
        <f>D473/E473</f>
        <v>174252.5</v>
      </c>
      <c r="I473">
        <f>WEEKNUM(A473)</f>
        <v>23</v>
      </c>
    </row>
    <row r="474" spans="1:9" ht="14.25" customHeight="1" x14ac:dyDescent="0.3">
      <c r="A474" s="5">
        <v>43982</v>
      </c>
      <c r="B474" s="6" t="s">
        <v>13</v>
      </c>
      <c r="C474" s="6">
        <v>32359.5</v>
      </c>
      <c r="D474" s="6">
        <v>2991999</v>
      </c>
      <c r="E474" s="7">
        <f>VLOOKUP(A474,Лист2!$A$2:$E$505,3)</f>
        <v>6</v>
      </c>
      <c r="F474" s="7">
        <f>VLOOKUP(A474,Лист2!$A$2:$E$505,4)</f>
        <v>261</v>
      </c>
      <c r="G474" s="7">
        <f>VLOOKUP(A474,Лист2!$A$2:$E$505,5)</f>
        <v>188</v>
      </c>
      <c r="H474">
        <f>D474/E474</f>
        <v>498666.5</v>
      </c>
      <c r="I474">
        <f>WEEKNUM(A474)</f>
        <v>23</v>
      </c>
    </row>
    <row r="475" spans="1:9" ht="14.25" customHeight="1" x14ac:dyDescent="0.3">
      <c r="A475" s="18">
        <v>43982</v>
      </c>
      <c r="B475" s="20" t="s">
        <v>14</v>
      </c>
      <c r="C475" s="20">
        <v>294337.5</v>
      </c>
      <c r="D475" s="20">
        <v>29327766</v>
      </c>
      <c r="E475" s="7">
        <f>VLOOKUP(A475,Лист2!$A$2:$E$505,3)</f>
        <v>6</v>
      </c>
      <c r="F475" s="7">
        <f>VLOOKUP(A475,Лист2!$A$2:$E$505,4)</f>
        <v>261</v>
      </c>
      <c r="G475" s="7">
        <f>VLOOKUP(A475,Лист2!$A$2:$E$505,5)</f>
        <v>188</v>
      </c>
      <c r="H475">
        <f>D475/E475</f>
        <v>4887961</v>
      </c>
      <c r="I475">
        <f>WEEKNUM(A475)</f>
        <v>23</v>
      </c>
    </row>
    <row r="476" spans="1:9" ht="14.25" customHeight="1" x14ac:dyDescent="0.3">
      <c r="A476" s="17">
        <v>43982</v>
      </c>
      <c r="B476" s="19" t="s">
        <v>15</v>
      </c>
      <c r="C476" s="19">
        <v>379663.5</v>
      </c>
      <c r="D476" s="19">
        <v>39380178</v>
      </c>
      <c r="E476" s="7">
        <f>VLOOKUP(A476,Лист2!$A$2:$E$505,3)</f>
        <v>6</v>
      </c>
      <c r="F476" s="7">
        <f>VLOOKUP(A476,Лист2!$A$2:$E$505,4)</f>
        <v>261</v>
      </c>
      <c r="G476" s="7">
        <f>VLOOKUP(A476,Лист2!$A$2:$E$505,5)</f>
        <v>188</v>
      </c>
      <c r="H476">
        <f>D476/E476</f>
        <v>6563363</v>
      </c>
      <c r="I476">
        <f>WEEKNUM(A476)</f>
        <v>23</v>
      </c>
    </row>
    <row r="477" spans="1:9" ht="14.25" customHeight="1" x14ac:dyDescent="0.3">
      <c r="A477" s="18">
        <v>43982</v>
      </c>
      <c r="B477" s="20" t="s">
        <v>16</v>
      </c>
      <c r="C477" s="20">
        <v>76234.5</v>
      </c>
      <c r="D477" s="20">
        <v>6500848.5</v>
      </c>
      <c r="E477" s="7">
        <f>VLOOKUP(A477,Лист2!$A$2:$E$505,3)</f>
        <v>6</v>
      </c>
      <c r="F477" s="7">
        <f>VLOOKUP(A477,Лист2!$A$2:$E$505,4)</f>
        <v>261</v>
      </c>
      <c r="G477" s="7">
        <f>VLOOKUP(A477,Лист2!$A$2:$E$505,5)</f>
        <v>188</v>
      </c>
      <c r="H477">
        <f>D477/E477</f>
        <v>1083474.75</v>
      </c>
      <c r="I477">
        <f>WEEKNUM(A477)</f>
        <v>23</v>
      </c>
    </row>
    <row r="478" spans="1:9" ht="14.25" customHeight="1" x14ac:dyDescent="0.3">
      <c r="A478" s="5">
        <v>43982</v>
      </c>
      <c r="B478" s="6" t="s">
        <v>17</v>
      </c>
      <c r="C478" s="6">
        <v>42423</v>
      </c>
      <c r="D478" s="6">
        <v>3994153.5</v>
      </c>
      <c r="E478" s="7">
        <f>VLOOKUP(A478,Лист2!$A$2:$E$505,3)</f>
        <v>6</v>
      </c>
      <c r="F478" s="7">
        <f>VLOOKUP(A478,Лист2!$A$2:$E$505,4)</f>
        <v>261</v>
      </c>
      <c r="G478" s="7">
        <f>VLOOKUP(A478,Лист2!$A$2:$E$505,5)</f>
        <v>188</v>
      </c>
      <c r="H478">
        <f>D478/E478</f>
        <v>665692.25</v>
      </c>
      <c r="I478">
        <f>WEEKNUM(A478)</f>
        <v>23</v>
      </c>
    </row>
    <row r="479" spans="1:9" ht="14.25" customHeight="1" x14ac:dyDescent="0.3">
      <c r="A479" s="18">
        <v>43982</v>
      </c>
      <c r="B479" s="20" t="s">
        <v>18</v>
      </c>
      <c r="C479" s="20">
        <v>17689.5</v>
      </c>
      <c r="D479" s="20">
        <v>1592119.5</v>
      </c>
      <c r="E479" s="7">
        <f>VLOOKUP(A479,Лист2!$A$2:$E$505,3)</f>
        <v>6</v>
      </c>
      <c r="F479" s="7">
        <f>VLOOKUP(A479,Лист2!$A$2:$E$505,4)</f>
        <v>261</v>
      </c>
      <c r="G479" s="7">
        <f>VLOOKUP(A479,Лист2!$A$2:$E$505,5)</f>
        <v>188</v>
      </c>
      <c r="H479">
        <f>D479/E479</f>
        <v>265353.25</v>
      </c>
      <c r="I479">
        <f>WEEKNUM(A479)</f>
        <v>23</v>
      </c>
    </row>
    <row r="480" spans="1:9" ht="14.25" customHeight="1" x14ac:dyDescent="0.3">
      <c r="A480" s="17">
        <v>43982</v>
      </c>
      <c r="B480" s="19" t="s">
        <v>19</v>
      </c>
      <c r="C480" s="19">
        <v>14808</v>
      </c>
      <c r="D480" s="19">
        <v>1336789.5</v>
      </c>
      <c r="E480" s="7">
        <f>VLOOKUP(A480,Лист2!$A$2:$E$505,3)</f>
        <v>6</v>
      </c>
      <c r="F480" s="7">
        <f>VLOOKUP(A480,Лист2!$A$2:$E$505,4)</f>
        <v>261</v>
      </c>
      <c r="G480" s="7">
        <f>VLOOKUP(A480,Лист2!$A$2:$E$505,5)</f>
        <v>188</v>
      </c>
      <c r="H480">
        <f>D480/E480</f>
        <v>222798.25</v>
      </c>
      <c r="I480">
        <f>WEEKNUM(A480)</f>
        <v>23</v>
      </c>
    </row>
    <row r="481" spans="1:9" ht="14.25" customHeight="1" x14ac:dyDescent="0.3">
      <c r="A481" s="8">
        <v>43982</v>
      </c>
      <c r="B481" s="9" t="s">
        <v>20</v>
      </c>
      <c r="C481" s="9">
        <v>31372.5</v>
      </c>
      <c r="D481" s="9">
        <v>2794324.5</v>
      </c>
      <c r="E481" s="7">
        <f>VLOOKUP(A481,Лист2!$A$2:$E$505,3)</f>
        <v>6</v>
      </c>
      <c r="F481" s="7">
        <f>VLOOKUP(A481,Лист2!$A$2:$E$505,4)</f>
        <v>261</v>
      </c>
      <c r="G481" s="7">
        <f>VLOOKUP(A481,Лист2!$A$2:$E$505,5)</f>
        <v>188</v>
      </c>
      <c r="H481">
        <f>D481/E481</f>
        <v>465720.75</v>
      </c>
      <c r="I481">
        <f>WEEKNUM(A481)</f>
        <v>23</v>
      </c>
    </row>
    <row r="482" spans="1:9" ht="14.25" customHeight="1" x14ac:dyDescent="0.3">
      <c r="A482" s="17">
        <v>43982</v>
      </c>
      <c r="B482" s="19" t="s">
        <v>21</v>
      </c>
      <c r="C482" s="19">
        <v>215277</v>
      </c>
      <c r="D482" s="19">
        <v>21585316.5</v>
      </c>
      <c r="E482" s="7">
        <f>VLOOKUP(A482,Лист2!$A$2:$E$505,3)</f>
        <v>6</v>
      </c>
      <c r="F482" s="7">
        <f>VLOOKUP(A482,Лист2!$A$2:$E$505,4)</f>
        <v>261</v>
      </c>
      <c r="G482" s="7">
        <f>VLOOKUP(A482,Лист2!$A$2:$E$505,5)</f>
        <v>188</v>
      </c>
      <c r="H482">
        <f>D482/E482</f>
        <v>3597552.75</v>
      </c>
      <c r="I482">
        <f>WEEKNUM(A482)</f>
        <v>23</v>
      </c>
    </row>
    <row r="483" spans="1:9" ht="14.25" customHeight="1" x14ac:dyDescent="0.3">
      <c r="A483" s="8">
        <v>43982</v>
      </c>
      <c r="B483" s="9" t="s">
        <v>22</v>
      </c>
      <c r="C483" s="9">
        <v>206758.5</v>
      </c>
      <c r="D483" s="9">
        <v>20717248.5</v>
      </c>
      <c r="E483" s="7">
        <f>VLOOKUP(A483,Лист2!$A$2:$E$505,3)</f>
        <v>6</v>
      </c>
      <c r="F483" s="7">
        <f>VLOOKUP(A483,Лист2!$A$2:$E$505,4)</f>
        <v>261</v>
      </c>
      <c r="G483" s="7">
        <f>VLOOKUP(A483,Лист2!$A$2:$E$505,5)</f>
        <v>188</v>
      </c>
      <c r="H483">
        <f>D483/E483</f>
        <v>3452874.75</v>
      </c>
      <c r="I483">
        <f>WEEKNUM(A483)</f>
        <v>23</v>
      </c>
    </row>
    <row r="484" spans="1:9" ht="14.25" customHeight="1" x14ac:dyDescent="0.3">
      <c r="A484" s="17">
        <v>43983</v>
      </c>
      <c r="B484" s="19" t="s">
        <v>9</v>
      </c>
      <c r="C484" s="19">
        <v>7816.5</v>
      </c>
      <c r="D484" s="19">
        <v>636345</v>
      </c>
      <c r="E484" s="7">
        <f>VLOOKUP(A484,Лист2!$A$2:$E$505,3)</f>
        <v>6</v>
      </c>
      <c r="F484" s="7">
        <f>VLOOKUP(A484,Лист2!$A$2:$E$505,4)</f>
        <v>237</v>
      </c>
      <c r="G484" s="7">
        <f>VLOOKUP(A484,Лист2!$A$2:$E$505,5)</f>
        <v>175</v>
      </c>
      <c r="H484">
        <f>D484/E484</f>
        <v>106057.5</v>
      </c>
      <c r="I484">
        <f>WEEKNUM(A484)</f>
        <v>23</v>
      </c>
    </row>
    <row r="485" spans="1:9" ht="14.25" customHeight="1" x14ac:dyDescent="0.3">
      <c r="A485" s="18">
        <v>43982</v>
      </c>
      <c r="B485" s="20" t="s">
        <v>25</v>
      </c>
      <c r="C485" s="20">
        <v>6409.5</v>
      </c>
      <c r="D485" s="20">
        <v>493893</v>
      </c>
      <c r="E485" s="7">
        <f>VLOOKUP(A485,Лист2!$A$2:$E$505,3)</f>
        <v>6</v>
      </c>
      <c r="F485" s="7">
        <f>VLOOKUP(A485,Лист2!$A$2:$E$505,4)</f>
        <v>261</v>
      </c>
      <c r="G485" s="7">
        <f>VLOOKUP(A485,Лист2!$A$2:$E$505,5)</f>
        <v>188</v>
      </c>
      <c r="H485">
        <f>D485/E485</f>
        <v>82315.5</v>
      </c>
      <c r="I485">
        <f>WEEKNUM(A485)</f>
        <v>23</v>
      </c>
    </row>
    <row r="486" spans="1:9" ht="14.25" customHeight="1" x14ac:dyDescent="0.3">
      <c r="A486" s="5">
        <v>43982</v>
      </c>
      <c r="B486" s="6" t="s">
        <v>26</v>
      </c>
      <c r="C486" s="6">
        <v>5127</v>
      </c>
      <c r="D486" s="6">
        <v>468835.5</v>
      </c>
      <c r="E486" s="7">
        <f>VLOOKUP(A486,Лист2!$A$2:$E$505,3)</f>
        <v>6</v>
      </c>
      <c r="F486" s="7">
        <f>VLOOKUP(A486,Лист2!$A$2:$E$505,4)</f>
        <v>261</v>
      </c>
      <c r="G486" s="7">
        <f>VLOOKUP(A486,Лист2!$A$2:$E$505,5)</f>
        <v>188</v>
      </c>
      <c r="H486">
        <f>D486/E486</f>
        <v>78139.25</v>
      </c>
      <c r="I486">
        <f>WEEKNUM(A486)</f>
        <v>23</v>
      </c>
    </row>
    <row r="487" spans="1:9" ht="14.25" customHeight="1" x14ac:dyDescent="0.3">
      <c r="A487" s="8">
        <v>43983</v>
      </c>
      <c r="B487" s="9" t="s">
        <v>10</v>
      </c>
      <c r="C487" s="9">
        <v>31947</v>
      </c>
      <c r="D487" s="9">
        <v>2945035.5</v>
      </c>
      <c r="E487" s="7">
        <f>VLOOKUP(A487,Лист2!$A$2:$E$505,3)</f>
        <v>6</v>
      </c>
      <c r="F487" s="7">
        <f>VLOOKUP(A487,Лист2!$A$2:$E$505,4)</f>
        <v>237</v>
      </c>
      <c r="G487" s="7">
        <f>VLOOKUP(A487,Лист2!$A$2:$E$505,5)</f>
        <v>175</v>
      </c>
      <c r="H487">
        <f>D487/E487</f>
        <v>490839.25</v>
      </c>
      <c r="I487">
        <f>WEEKNUM(A487)</f>
        <v>23</v>
      </c>
    </row>
    <row r="488" spans="1:9" ht="14.25" customHeight="1" x14ac:dyDescent="0.3">
      <c r="A488" s="5">
        <v>43982</v>
      </c>
      <c r="B488" s="6" t="s">
        <v>24</v>
      </c>
      <c r="C488" s="6">
        <v>10416</v>
      </c>
      <c r="D488" s="6">
        <v>866023.5</v>
      </c>
      <c r="E488" s="7">
        <f>VLOOKUP(A488,Лист2!$A$2:$E$505,3)</f>
        <v>6</v>
      </c>
      <c r="F488" s="7">
        <f>VLOOKUP(A488,Лист2!$A$2:$E$505,4)</f>
        <v>261</v>
      </c>
      <c r="G488" s="7">
        <f>VLOOKUP(A488,Лист2!$A$2:$E$505,5)</f>
        <v>188</v>
      </c>
      <c r="H488">
        <f>D488/E488</f>
        <v>144337.25</v>
      </c>
      <c r="I488">
        <f>WEEKNUM(A488)</f>
        <v>23</v>
      </c>
    </row>
    <row r="489" spans="1:9" ht="14.25" customHeight="1" x14ac:dyDescent="0.3">
      <c r="A489" s="18">
        <v>43983</v>
      </c>
      <c r="B489" s="20" t="s">
        <v>11</v>
      </c>
      <c r="C489" s="20">
        <v>77269.5</v>
      </c>
      <c r="D489" s="20">
        <v>6829921.5</v>
      </c>
      <c r="E489" s="7">
        <f>VLOOKUP(A489,Лист2!$A$2:$E$505,3)</f>
        <v>6</v>
      </c>
      <c r="F489" s="7">
        <f>VLOOKUP(A489,Лист2!$A$2:$E$505,4)</f>
        <v>237</v>
      </c>
      <c r="G489" s="7">
        <f>VLOOKUP(A489,Лист2!$A$2:$E$505,5)</f>
        <v>175</v>
      </c>
      <c r="H489">
        <f>D489/E489</f>
        <v>1138320.25</v>
      </c>
      <c r="I489">
        <f>WEEKNUM(A489)</f>
        <v>23</v>
      </c>
    </row>
    <row r="490" spans="1:9" ht="14.25" customHeight="1" x14ac:dyDescent="0.3">
      <c r="A490" s="17">
        <v>43982</v>
      </c>
      <c r="B490" s="19" t="s">
        <v>23</v>
      </c>
      <c r="C490" s="19">
        <v>16143</v>
      </c>
      <c r="D490" s="19">
        <v>1423410</v>
      </c>
      <c r="E490" s="7">
        <f>VLOOKUP(A490,Лист2!$A$2:$E$505,3)</f>
        <v>6</v>
      </c>
      <c r="F490" s="7">
        <f>VLOOKUP(A490,Лист2!$A$2:$E$505,4)</f>
        <v>261</v>
      </c>
      <c r="G490" s="7">
        <f>VLOOKUP(A490,Лист2!$A$2:$E$505,5)</f>
        <v>188</v>
      </c>
      <c r="H490">
        <f>D490/E490</f>
        <v>237235</v>
      </c>
      <c r="I490">
        <f>WEEKNUM(A490)</f>
        <v>23</v>
      </c>
    </row>
    <row r="491" spans="1:9" ht="14.25" customHeight="1" x14ac:dyDescent="0.3">
      <c r="A491" s="18">
        <v>43983</v>
      </c>
      <c r="B491" s="20" t="s">
        <v>12</v>
      </c>
      <c r="C491" s="20">
        <v>11416.5</v>
      </c>
      <c r="D491" s="20">
        <v>1007742</v>
      </c>
      <c r="E491" s="7">
        <f>VLOOKUP(A491,Лист2!$A$2:$E$505,3)</f>
        <v>6</v>
      </c>
      <c r="F491" s="7">
        <f>VLOOKUP(A491,Лист2!$A$2:$E$505,4)</f>
        <v>237</v>
      </c>
      <c r="G491" s="7">
        <f>VLOOKUP(A491,Лист2!$A$2:$E$505,5)</f>
        <v>175</v>
      </c>
      <c r="H491">
        <f>D491/E491</f>
        <v>167957</v>
      </c>
      <c r="I491">
        <f>WEEKNUM(A491)</f>
        <v>23</v>
      </c>
    </row>
    <row r="492" spans="1:9" ht="14.25" customHeight="1" x14ac:dyDescent="0.3">
      <c r="A492" s="17">
        <v>43983</v>
      </c>
      <c r="B492" s="19" t="s">
        <v>13</v>
      </c>
      <c r="C492" s="19">
        <v>32170.5</v>
      </c>
      <c r="D492" s="19">
        <v>3013512</v>
      </c>
      <c r="E492" s="7">
        <f>VLOOKUP(A492,Лист2!$A$2:$E$505,3)</f>
        <v>6</v>
      </c>
      <c r="F492" s="7">
        <f>VLOOKUP(A492,Лист2!$A$2:$E$505,4)</f>
        <v>237</v>
      </c>
      <c r="G492" s="7">
        <f>VLOOKUP(A492,Лист2!$A$2:$E$505,5)</f>
        <v>175</v>
      </c>
      <c r="H492">
        <f>D492/E492</f>
        <v>502252</v>
      </c>
      <c r="I492">
        <f>WEEKNUM(A492)</f>
        <v>23</v>
      </c>
    </row>
    <row r="493" spans="1:9" ht="14.25" customHeight="1" x14ac:dyDescent="0.3">
      <c r="A493" s="8">
        <v>43983</v>
      </c>
      <c r="B493" s="9" t="s">
        <v>14</v>
      </c>
      <c r="C493" s="9">
        <v>272926.5</v>
      </c>
      <c r="D493" s="9">
        <v>27770092.5</v>
      </c>
      <c r="E493" s="7">
        <f>VLOOKUP(A493,Лист2!$A$2:$E$505,3)</f>
        <v>6</v>
      </c>
      <c r="F493" s="7">
        <f>VLOOKUP(A493,Лист2!$A$2:$E$505,4)</f>
        <v>237</v>
      </c>
      <c r="G493" s="7">
        <f>VLOOKUP(A493,Лист2!$A$2:$E$505,5)</f>
        <v>175</v>
      </c>
      <c r="H493">
        <f>D493/E493</f>
        <v>4628348.75</v>
      </c>
      <c r="I493">
        <f>WEEKNUM(A493)</f>
        <v>23</v>
      </c>
    </row>
    <row r="494" spans="1:9" ht="14.25" customHeight="1" x14ac:dyDescent="0.3">
      <c r="A494" s="5">
        <v>43983</v>
      </c>
      <c r="B494" s="6" t="s">
        <v>15</v>
      </c>
      <c r="C494" s="6">
        <v>349699.5</v>
      </c>
      <c r="D494" s="6">
        <v>37257840.18135</v>
      </c>
      <c r="E494" s="7">
        <f>VLOOKUP(A494,Лист2!$A$2:$E$505,3)</f>
        <v>6</v>
      </c>
      <c r="F494" s="7">
        <f>VLOOKUP(A494,Лист2!$A$2:$E$505,4)</f>
        <v>237</v>
      </c>
      <c r="G494" s="7">
        <f>VLOOKUP(A494,Лист2!$A$2:$E$505,5)</f>
        <v>175</v>
      </c>
      <c r="H494">
        <f>D494/E494</f>
        <v>6209640.0302250003</v>
      </c>
      <c r="I494">
        <f>WEEKNUM(A494)</f>
        <v>23</v>
      </c>
    </row>
    <row r="495" spans="1:9" ht="14.25" customHeight="1" x14ac:dyDescent="0.3">
      <c r="A495" s="18">
        <v>43983</v>
      </c>
      <c r="B495" s="20" t="s">
        <v>16</v>
      </c>
      <c r="C495" s="20">
        <v>64740</v>
      </c>
      <c r="D495" s="20">
        <v>5800290</v>
      </c>
      <c r="E495" s="7">
        <f>VLOOKUP(A495,Лист2!$A$2:$E$505,3)</f>
        <v>6</v>
      </c>
      <c r="F495" s="7">
        <f>VLOOKUP(A495,Лист2!$A$2:$E$505,4)</f>
        <v>237</v>
      </c>
      <c r="G495" s="7">
        <f>VLOOKUP(A495,Лист2!$A$2:$E$505,5)</f>
        <v>175</v>
      </c>
      <c r="H495">
        <f>D495/E495</f>
        <v>966715</v>
      </c>
      <c r="I495">
        <f>WEEKNUM(A495)</f>
        <v>23</v>
      </c>
    </row>
    <row r="496" spans="1:9" ht="14.25" customHeight="1" x14ac:dyDescent="0.3">
      <c r="A496" s="5">
        <v>43983</v>
      </c>
      <c r="B496" s="6" t="s">
        <v>17</v>
      </c>
      <c r="C496" s="6">
        <v>40528.5</v>
      </c>
      <c r="D496" s="6">
        <v>3865251</v>
      </c>
      <c r="E496" s="7">
        <f>VLOOKUP(A496,Лист2!$A$2:$E$505,3)</f>
        <v>6</v>
      </c>
      <c r="F496" s="7">
        <f>VLOOKUP(A496,Лист2!$A$2:$E$505,4)</f>
        <v>237</v>
      </c>
      <c r="G496" s="7">
        <f>VLOOKUP(A496,Лист2!$A$2:$E$505,5)</f>
        <v>175</v>
      </c>
      <c r="H496">
        <f>D496/E496</f>
        <v>644208.5</v>
      </c>
      <c r="I496">
        <f>WEEKNUM(A496)</f>
        <v>23</v>
      </c>
    </row>
    <row r="497" spans="1:9" ht="14.25" customHeight="1" x14ac:dyDescent="0.3">
      <c r="A497" s="8">
        <v>43983</v>
      </c>
      <c r="B497" s="9" t="s">
        <v>18</v>
      </c>
      <c r="C497" s="9">
        <v>16687.5</v>
      </c>
      <c r="D497" s="9">
        <v>1526608.5</v>
      </c>
      <c r="E497" s="7">
        <f>VLOOKUP(A497,Лист2!$A$2:$E$505,3)</f>
        <v>6</v>
      </c>
      <c r="F497" s="7">
        <f>VLOOKUP(A497,Лист2!$A$2:$E$505,4)</f>
        <v>237</v>
      </c>
      <c r="G497" s="7">
        <f>VLOOKUP(A497,Лист2!$A$2:$E$505,5)</f>
        <v>175</v>
      </c>
      <c r="H497">
        <f>D497/E497</f>
        <v>254434.75</v>
      </c>
      <c r="I497">
        <f>WEEKNUM(A497)</f>
        <v>23</v>
      </c>
    </row>
    <row r="498" spans="1:9" ht="14.25" customHeight="1" x14ac:dyDescent="0.3">
      <c r="A498" s="5">
        <v>43983</v>
      </c>
      <c r="B498" s="6" t="s">
        <v>19</v>
      </c>
      <c r="C498" s="6">
        <v>16476</v>
      </c>
      <c r="D498" s="6">
        <v>1565632.5</v>
      </c>
      <c r="E498" s="7">
        <f>VLOOKUP(A498,Лист2!$A$2:$E$505,3)</f>
        <v>6</v>
      </c>
      <c r="F498" s="7">
        <f>VLOOKUP(A498,Лист2!$A$2:$E$505,4)</f>
        <v>237</v>
      </c>
      <c r="G498" s="7">
        <f>VLOOKUP(A498,Лист2!$A$2:$E$505,5)</f>
        <v>175</v>
      </c>
      <c r="H498">
        <f>D498/E498</f>
        <v>260938.75</v>
      </c>
      <c r="I498">
        <f>WEEKNUM(A498)</f>
        <v>23</v>
      </c>
    </row>
    <row r="499" spans="1:9" ht="14.25" customHeight="1" x14ac:dyDescent="0.3">
      <c r="A499" s="18">
        <v>43983</v>
      </c>
      <c r="B499" s="20" t="s">
        <v>20</v>
      </c>
      <c r="C499" s="20">
        <v>27960</v>
      </c>
      <c r="D499" s="20">
        <v>2538967.5</v>
      </c>
      <c r="E499" s="7">
        <f>VLOOKUP(A499,Лист2!$A$2:$E$505,3)</f>
        <v>6</v>
      </c>
      <c r="F499" s="7">
        <f>VLOOKUP(A499,Лист2!$A$2:$E$505,4)</f>
        <v>237</v>
      </c>
      <c r="G499" s="7">
        <f>VLOOKUP(A499,Лист2!$A$2:$E$505,5)</f>
        <v>175</v>
      </c>
      <c r="H499">
        <f>D499/E499</f>
        <v>423161.25</v>
      </c>
      <c r="I499">
        <f>WEEKNUM(A499)</f>
        <v>23</v>
      </c>
    </row>
    <row r="500" spans="1:9" ht="14.25" customHeight="1" x14ac:dyDescent="0.3">
      <c r="A500" s="17">
        <v>43983</v>
      </c>
      <c r="B500" s="19" t="s">
        <v>21</v>
      </c>
      <c r="C500" s="19">
        <v>188776.5</v>
      </c>
      <c r="D500" s="19">
        <v>19465372.5</v>
      </c>
      <c r="E500" s="7">
        <f>VLOOKUP(A500,Лист2!$A$2:$E$505,3)</f>
        <v>6</v>
      </c>
      <c r="F500" s="7">
        <f>VLOOKUP(A500,Лист2!$A$2:$E$505,4)</f>
        <v>237</v>
      </c>
      <c r="G500" s="7">
        <f>VLOOKUP(A500,Лист2!$A$2:$E$505,5)</f>
        <v>175</v>
      </c>
      <c r="H500">
        <f>D500/E500</f>
        <v>3244228.75</v>
      </c>
      <c r="I500">
        <f>WEEKNUM(A500)</f>
        <v>23</v>
      </c>
    </row>
    <row r="501" spans="1:9" ht="14.25" customHeight="1" x14ac:dyDescent="0.3">
      <c r="A501" s="18">
        <v>43983</v>
      </c>
      <c r="B501" s="20" t="s">
        <v>22</v>
      </c>
      <c r="C501" s="20">
        <v>183228</v>
      </c>
      <c r="D501" s="20">
        <v>18914194.5</v>
      </c>
      <c r="E501" s="7">
        <f>VLOOKUP(A501,Лист2!$A$2:$E$505,3)</f>
        <v>6</v>
      </c>
      <c r="F501" s="7">
        <f>VLOOKUP(A501,Лист2!$A$2:$E$505,4)</f>
        <v>237</v>
      </c>
      <c r="G501" s="7">
        <f>VLOOKUP(A501,Лист2!$A$2:$E$505,5)</f>
        <v>175</v>
      </c>
      <c r="H501">
        <f>D501/E501</f>
        <v>3152365.75</v>
      </c>
      <c r="I501">
        <f>WEEKNUM(A501)</f>
        <v>23</v>
      </c>
    </row>
    <row r="502" spans="1:9" ht="14.25" customHeight="1" x14ac:dyDescent="0.3">
      <c r="A502" s="17">
        <v>43983</v>
      </c>
      <c r="B502" s="19" t="s">
        <v>25</v>
      </c>
      <c r="C502" s="19">
        <v>5166</v>
      </c>
      <c r="D502" s="19">
        <v>389013</v>
      </c>
      <c r="E502" s="7">
        <f>VLOOKUP(A502,Лист2!$A$2:$E$505,3)</f>
        <v>6</v>
      </c>
      <c r="F502" s="7">
        <f>VLOOKUP(A502,Лист2!$A$2:$E$505,4)</f>
        <v>237</v>
      </c>
      <c r="G502" s="7">
        <f>VLOOKUP(A502,Лист2!$A$2:$E$505,5)</f>
        <v>175</v>
      </c>
      <c r="H502">
        <f>D502/E502</f>
        <v>64835.5</v>
      </c>
      <c r="I502">
        <f>WEEKNUM(A502)</f>
        <v>23</v>
      </c>
    </row>
    <row r="503" spans="1:9" ht="14.25" customHeight="1" x14ac:dyDescent="0.3">
      <c r="A503" s="8">
        <v>43983</v>
      </c>
      <c r="B503" s="9" t="s">
        <v>26</v>
      </c>
      <c r="C503" s="9">
        <v>4408.5</v>
      </c>
      <c r="D503" s="9">
        <v>410892</v>
      </c>
      <c r="E503" s="7">
        <f>VLOOKUP(A503,Лист2!$A$2:$E$505,3)</f>
        <v>6</v>
      </c>
      <c r="F503" s="7">
        <f>VLOOKUP(A503,Лист2!$A$2:$E$505,4)</f>
        <v>237</v>
      </c>
      <c r="G503" s="7">
        <f>VLOOKUP(A503,Лист2!$A$2:$E$505,5)</f>
        <v>175</v>
      </c>
      <c r="H503">
        <f>D503/E503</f>
        <v>68482</v>
      </c>
      <c r="I503">
        <f>WEEKNUM(A503)</f>
        <v>23</v>
      </c>
    </row>
    <row r="504" spans="1:9" ht="14.25" customHeight="1" x14ac:dyDescent="0.3">
      <c r="A504" s="17">
        <v>43983</v>
      </c>
      <c r="B504" s="19" t="s">
        <v>24</v>
      </c>
      <c r="C504" s="19">
        <v>9474</v>
      </c>
      <c r="D504" s="19">
        <v>802447.5</v>
      </c>
      <c r="E504" s="7">
        <f>VLOOKUP(A504,Лист2!$A$2:$E$505,3)</f>
        <v>6</v>
      </c>
      <c r="F504" s="7">
        <f>VLOOKUP(A504,Лист2!$A$2:$E$505,4)</f>
        <v>237</v>
      </c>
      <c r="G504" s="7">
        <f>VLOOKUP(A504,Лист2!$A$2:$E$505,5)</f>
        <v>175</v>
      </c>
      <c r="H504">
        <f>D504/E504</f>
        <v>133741.25</v>
      </c>
      <c r="I504">
        <f>WEEKNUM(A504)</f>
        <v>23</v>
      </c>
    </row>
    <row r="505" spans="1:9" ht="14.25" customHeight="1" x14ac:dyDescent="0.3">
      <c r="A505" s="10">
        <v>43983</v>
      </c>
      <c r="B505" s="11" t="s">
        <v>23</v>
      </c>
      <c r="C505" s="11">
        <v>14238</v>
      </c>
      <c r="D505" s="11">
        <v>1293219</v>
      </c>
      <c r="E505" s="7">
        <f>VLOOKUP(A505,Лист2!$A$2:$E$505,3)</f>
        <v>6</v>
      </c>
      <c r="F505" s="7">
        <f>VLOOKUP(A505,Лист2!$A$2:$E$505,4)</f>
        <v>237</v>
      </c>
      <c r="G505" s="7">
        <f>VLOOKUP(A505,Лист2!$A$2:$E$505,5)</f>
        <v>175</v>
      </c>
      <c r="H505">
        <f>D505/E505</f>
        <v>215536.5</v>
      </c>
      <c r="I505">
        <f>WEEKNUM(A505)</f>
        <v>23</v>
      </c>
    </row>
    <row r="506" spans="1:9" ht="14.25" customHeight="1" x14ac:dyDescent="0.3"/>
    <row r="507" spans="1:9" ht="14.25" customHeight="1" x14ac:dyDescent="0.3"/>
    <row r="508" spans="1:9" ht="14.25" customHeight="1" x14ac:dyDescent="0.3"/>
    <row r="509" spans="1:9" ht="14.25" customHeight="1" x14ac:dyDescent="0.3"/>
    <row r="510" spans="1:9" ht="14.25" customHeight="1" x14ac:dyDescent="0.3"/>
    <row r="511" spans="1:9" ht="14.25" customHeight="1" x14ac:dyDescent="0.3"/>
    <row r="512" spans="1:9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sortState xmlns:xlrd2="http://schemas.microsoft.com/office/spreadsheetml/2017/richdata2" ref="A2:I505">
    <sortCondition ref="I505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C1" sqref="C1"/>
    </sheetView>
  </sheetViews>
  <sheetFormatPr defaultColWidth="14.44140625" defaultRowHeight="15" customHeight="1" x14ac:dyDescent="0.3"/>
  <cols>
    <col min="1" max="1" width="10.44140625" customWidth="1"/>
    <col min="2" max="2" width="22.88671875" customWidth="1"/>
    <col min="3" max="3" width="22.6640625" customWidth="1"/>
    <col min="4" max="4" width="22.109375" customWidth="1"/>
    <col min="5" max="5" width="25.44140625" customWidth="1"/>
    <col min="6" max="26" width="8.6640625" customWidth="1"/>
  </cols>
  <sheetData>
    <row r="1" spans="1:5" ht="14.25" customHeight="1" x14ac:dyDescent="0.3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spans="1:5" ht="14.25" customHeight="1" x14ac:dyDescent="0.3">
      <c r="A2" s="12">
        <v>43949</v>
      </c>
      <c r="B2" s="7" t="s">
        <v>16</v>
      </c>
      <c r="C2" s="7">
        <v>36</v>
      </c>
      <c r="D2" s="7">
        <v>4923</v>
      </c>
      <c r="E2" s="7">
        <v>4560</v>
      </c>
    </row>
    <row r="3" spans="1:5" ht="14.25" customHeight="1" x14ac:dyDescent="0.3">
      <c r="A3" s="12">
        <v>43949</v>
      </c>
      <c r="B3" s="7" t="s">
        <v>11</v>
      </c>
      <c r="C3" s="7">
        <v>31</v>
      </c>
      <c r="D3" s="7">
        <v>5465</v>
      </c>
      <c r="E3" s="7">
        <v>5096</v>
      </c>
    </row>
    <row r="4" spans="1:5" ht="14.25" customHeight="1" x14ac:dyDescent="0.3">
      <c r="A4" s="12">
        <v>43949</v>
      </c>
      <c r="B4" s="7" t="s">
        <v>17</v>
      </c>
      <c r="C4" s="7">
        <v>19</v>
      </c>
      <c r="D4" s="7">
        <v>1846</v>
      </c>
      <c r="E4" s="7">
        <v>1681</v>
      </c>
    </row>
    <row r="5" spans="1:5" ht="14.25" customHeight="1" x14ac:dyDescent="0.3">
      <c r="A5" s="12">
        <v>43949</v>
      </c>
      <c r="B5" s="7" t="s">
        <v>10</v>
      </c>
      <c r="C5" s="7">
        <v>18</v>
      </c>
      <c r="D5" s="7">
        <v>1539</v>
      </c>
      <c r="E5" s="7">
        <v>1404</v>
      </c>
    </row>
    <row r="6" spans="1:5" ht="14.25" customHeight="1" x14ac:dyDescent="0.3">
      <c r="A6" s="12">
        <v>43949</v>
      </c>
      <c r="B6" s="7" t="s">
        <v>20</v>
      </c>
      <c r="C6" s="7">
        <v>18</v>
      </c>
      <c r="D6" s="7">
        <v>1505</v>
      </c>
      <c r="E6" s="7">
        <v>1368</v>
      </c>
    </row>
    <row r="7" spans="1:5" ht="14.25" customHeight="1" x14ac:dyDescent="0.3">
      <c r="A7" s="12">
        <v>43949</v>
      </c>
      <c r="B7" s="7" t="s">
        <v>22</v>
      </c>
      <c r="C7" s="7">
        <v>54</v>
      </c>
      <c r="D7" s="7">
        <v>12306</v>
      </c>
      <c r="E7" s="7">
        <v>11532</v>
      </c>
    </row>
    <row r="8" spans="1:5" ht="14.25" customHeight="1" x14ac:dyDescent="0.3">
      <c r="A8" s="12">
        <v>43949</v>
      </c>
      <c r="B8" s="7" t="s">
        <v>21</v>
      </c>
      <c r="C8" s="7">
        <v>59</v>
      </c>
      <c r="D8" s="7">
        <v>12943</v>
      </c>
      <c r="E8" s="7">
        <v>12072</v>
      </c>
    </row>
    <row r="9" spans="1:5" ht="14.25" customHeight="1" x14ac:dyDescent="0.3">
      <c r="A9" s="12">
        <v>43949</v>
      </c>
      <c r="B9" s="7" t="s">
        <v>13</v>
      </c>
      <c r="C9" s="7">
        <v>17</v>
      </c>
      <c r="D9" s="7">
        <v>1439</v>
      </c>
      <c r="E9" s="7">
        <v>1265</v>
      </c>
    </row>
    <row r="10" spans="1:5" ht="14.25" customHeight="1" x14ac:dyDescent="0.3">
      <c r="A10" s="12">
        <v>43949</v>
      </c>
      <c r="B10" s="7" t="s">
        <v>23</v>
      </c>
      <c r="C10" s="7">
        <v>15</v>
      </c>
      <c r="D10" s="7">
        <v>636</v>
      </c>
      <c r="E10" s="7">
        <v>547</v>
      </c>
    </row>
    <row r="11" spans="1:5" ht="14.25" customHeight="1" x14ac:dyDescent="0.3">
      <c r="A11" s="12">
        <v>43949</v>
      </c>
      <c r="B11" s="7" t="s">
        <v>18</v>
      </c>
      <c r="C11" s="7">
        <v>15</v>
      </c>
      <c r="D11" s="7">
        <v>780</v>
      </c>
      <c r="E11" s="7">
        <v>690</v>
      </c>
    </row>
    <row r="12" spans="1:5" ht="14.25" customHeight="1" x14ac:dyDescent="0.3">
      <c r="A12" s="12">
        <v>43949</v>
      </c>
      <c r="B12" s="7" t="s">
        <v>15</v>
      </c>
      <c r="C12" s="7">
        <v>125</v>
      </c>
      <c r="D12" s="7">
        <v>20914</v>
      </c>
      <c r="E12" s="7">
        <v>19479</v>
      </c>
    </row>
    <row r="13" spans="1:5" ht="14.25" customHeight="1" x14ac:dyDescent="0.3">
      <c r="A13" s="12">
        <v>43949</v>
      </c>
      <c r="B13" s="7" t="s">
        <v>14</v>
      </c>
      <c r="C13" s="7">
        <v>128</v>
      </c>
      <c r="D13" s="7">
        <v>16450</v>
      </c>
      <c r="E13" s="7">
        <v>15320</v>
      </c>
    </row>
    <row r="14" spans="1:5" ht="14.25" customHeight="1" x14ac:dyDescent="0.3">
      <c r="A14" s="12">
        <v>43949</v>
      </c>
      <c r="B14" s="7" t="s">
        <v>12</v>
      </c>
      <c r="C14" s="7">
        <v>10</v>
      </c>
      <c r="D14" s="7">
        <v>580</v>
      </c>
      <c r="E14" s="7">
        <v>506</v>
      </c>
    </row>
    <row r="15" spans="1:5" ht="14.25" customHeight="1" x14ac:dyDescent="0.3">
      <c r="A15" s="12">
        <v>43950</v>
      </c>
      <c r="B15" s="7" t="s">
        <v>16</v>
      </c>
      <c r="C15" s="7">
        <v>36</v>
      </c>
      <c r="D15" s="7">
        <v>4937</v>
      </c>
      <c r="E15" s="7">
        <v>4561</v>
      </c>
    </row>
    <row r="16" spans="1:5" ht="14.25" customHeight="1" x14ac:dyDescent="0.3">
      <c r="A16" s="12">
        <v>43950</v>
      </c>
      <c r="B16" s="7" t="s">
        <v>11</v>
      </c>
      <c r="C16" s="7">
        <v>31</v>
      </c>
      <c r="D16" s="7">
        <v>5378</v>
      </c>
      <c r="E16" s="7">
        <v>4985</v>
      </c>
    </row>
    <row r="17" spans="1:5" ht="14.25" customHeight="1" x14ac:dyDescent="0.3">
      <c r="A17" s="12">
        <v>43950</v>
      </c>
      <c r="B17" s="7" t="s">
        <v>17</v>
      </c>
      <c r="C17" s="7">
        <v>19</v>
      </c>
      <c r="D17" s="7">
        <v>1676</v>
      </c>
      <c r="E17" s="7">
        <v>1516</v>
      </c>
    </row>
    <row r="18" spans="1:5" ht="14.25" customHeight="1" x14ac:dyDescent="0.3">
      <c r="A18" s="12">
        <v>43950</v>
      </c>
      <c r="B18" s="7" t="s">
        <v>10</v>
      </c>
      <c r="C18" s="7">
        <v>18</v>
      </c>
      <c r="D18" s="7">
        <v>1684</v>
      </c>
      <c r="E18" s="7">
        <v>1528</v>
      </c>
    </row>
    <row r="19" spans="1:5" ht="14.25" customHeight="1" x14ac:dyDescent="0.3">
      <c r="A19" s="12">
        <v>43950</v>
      </c>
      <c r="B19" s="7" t="s">
        <v>20</v>
      </c>
      <c r="C19" s="7">
        <v>18</v>
      </c>
      <c r="D19" s="7">
        <v>1599</v>
      </c>
      <c r="E19" s="7">
        <v>1450</v>
      </c>
    </row>
    <row r="20" spans="1:5" ht="14.25" customHeight="1" x14ac:dyDescent="0.3">
      <c r="A20" s="12">
        <v>43950</v>
      </c>
      <c r="B20" s="7" t="s">
        <v>22</v>
      </c>
      <c r="C20" s="7">
        <v>54</v>
      </c>
      <c r="D20" s="7">
        <v>12747</v>
      </c>
      <c r="E20" s="7">
        <v>11884</v>
      </c>
    </row>
    <row r="21" spans="1:5" ht="14.25" customHeight="1" x14ac:dyDescent="0.3">
      <c r="A21" s="12">
        <v>43950</v>
      </c>
      <c r="B21" s="7" t="s">
        <v>21</v>
      </c>
      <c r="C21" s="7">
        <v>59</v>
      </c>
      <c r="D21" s="7">
        <v>13186</v>
      </c>
      <c r="E21" s="7">
        <v>12251</v>
      </c>
    </row>
    <row r="22" spans="1:5" ht="14.25" customHeight="1" x14ac:dyDescent="0.3">
      <c r="A22" s="12">
        <v>43950</v>
      </c>
      <c r="B22" s="7" t="s">
        <v>13</v>
      </c>
      <c r="C22" s="7">
        <v>18</v>
      </c>
      <c r="D22" s="7">
        <v>1534</v>
      </c>
      <c r="E22" s="7">
        <v>1369</v>
      </c>
    </row>
    <row r="23" spans="1:5" ht="14.25" customHeight="1" x14ac:dyDescent="0.3">
      <c r="A23" s="12">
        <v>43950</v>
      </c>
      <c r="B23" s="7" t="s">
        <v>23</v>
      </c>
      <c r="C23" s="7">
        <v>15</v>
      </c>
      <c r="D23" s="7">
        <v>659</v>
      </c>
      <c r="E23" s="7">
        <v>575</v>
      </c>
    </row>
    <row r="24" spans="1:5" ht="14.25" customHeight="1" x14ac:dyDescent="0.3">
      <c r="A24" s="12">
        <v>43950</v>
      </c>
      <c r="B24" s="7" t="s">
        <v>18</v>
      </c>
      <c r="C24" s="7">
        <v>15</v>
      </c>
      <c r="D24" s="7">
        <v>786</v>
      </c>
      <c r="E24" s="7">
        <v>695</v>
      </c>
    </row>
    <row r="25" spans="1:5" ht="14.25" customHeight="1" x14ac:dyDescent="0.3">
      <c r="A25" s="12">
        <v>43950</v>
      </c>
      <c r="B25" s="7" t="s">
        <v>15</v>
      </c>
      <c r="C25" s="7">
        <v>125</v>
      </c>
      <c r="D25" s="7">
        <v>21863</v>
      </c>
      <c r="E25" s="7">
        <v>20160</v>
      </c>
    </row>
    <row r="26" spans="1:5" ht="14.25" customHeight="1" x14ac:dyDescent="0.3">
      <c r="A26" s="12">
        <v>43950</v>
      </c>
      <c r="B26" s="7" t="s">
        <v>14</v>
      </c>
      <c r="C26" s="7">
        <v>128</v>
      </c>
      <c r="D26" s="7">
        <v>17368</v>
      </c>
      <c r="E26" s="7">
        <v>16077</v>
      </c>
    </row>
    <row r="27" spans="1:5" ht="14.25" customHeight="1" x14ac:dyDescent="0.3">
      <c r="A27" s="12">
        <v>43950</v>
      </c>
      <c r="B27" s="7" t="s">
        <v>12</v>
      </c>
      <c r="C27" s="7">
        <v>10</v>
      </c>
      <c r="D27" s="7">
        <v>502</v>
      </c>
      <c r="E27" s="7">
        <v>433</v>
      </c>
    </row>
    <row r="28" spans="1:5" ht="14.25" customHeight="1" x14ac:dyDescent="0.3">
      <c r="A28" s="12">
        <v>43951</v>
      </c>
      <c r="B28" s="7" t="s">
        <v>16</v>
      </c>
      <c r="C28" s="7">
        <v>36</v>
      </c>
      <c r="D28" s="7">
        <v>5143</v>
      </c>
      <c r="E28" s="7">
        <v>4715</v>
      </c>
    </row>
    <row r="29" spans="1:5" ht="14.25" customHeight="1" x14ac:dyDescent="0.3">
      <c r="A29" s="12">
        <v>43951</v>
      </c>
      <c r="B29" s="7" t="s">
        <v>11</v>
      </c>
      <c r="C29" s="7">
        <v>31</v>
      </c>
      <c r="D29" s="7">
        <v>5120</v>
      </c>
      <c r="E29" s="7">
        <v>4737</v>
      </c>
    </row>
    <row r="30" spans="1:5" ht="14.25" customHeight="1" x14ac:dyDescent="0.3">
      <c r="A30" s="12">
        <v>43951</v>
      </c>
      <c r="B30" s="7" t="s">
        <v>17</v>
      </c>
      <c r="C30" s="7">
        <v>20</v>
      </c>
      <c r="D30" s="7">
        <v>1756</v>
      </c>
      <c r="E30" s="7">
        <v>1586</v>
      </c>
    </row>
    <row r="31" spans="1:5" ht="14.25" customHeight="1" x14ac:dyDescent="0.3">
      <c r="A31" s="12">
        <v>43951</v>
      </c>
      <c r="B31" s="7" t="s">
        <v>10</v>
      </c>
      <c r="C31" s="7">
        <v>19</v>
      </c>
      <c r="D31" s="7">
        <v>1712</v>
      </c>
      <c r="E31" s="7">
        <v>1552</v>
      </c>
    </row>
    <row r="32" spans="1:5" ht="14.25" customHeight="1" x14ac:dyDescent="0.3">
      <c r="A32" s="12">
        <v>43951</v>
      </c>
      <c r="B32" s="7" t="s">
        <v>20</v>
      </c>
      <c r="C32" s="7">
        <v>19</v>
      </c>
      <c r="D32" s="7">
        <v>1662</v>
      </c>
      <c r="E32" s="7">
        <v>1506</v>
      </c>
    </row>
    <row r="33" spans="1:5" ht="14.25" customHeight="1" x14ac:dyDescent="0.3">
      <c r="A33" s="12">
        <v>43951</v>
      </c>
      <c r="B33" s="7" t="s">
        <v>22</v>
      </c>
      <c r="C33" s="7">
        <v>54</v>
      </c>
      <c r="D33" s="7">
        <v>12817</v>
      </c>
      <c r="E33" s="7">
        <v>11865</v>
      </c>
    </row>
    <row r="34" spans="1:5" ht="14.25" customHeight="1" x14ac:dyDescent="0.3">
      <c r="A34" s="12">
        <v>43951</v>
      </c>
      <c r="B34" s="7" t="s">
        <v>21</v>
      </c>
      <c r="C34" s="7">
        <v>59</v>
      </c>
      <c r="D34" s="7">
        <v>13251</v>
      </c>
      <c r="E34" s="7">
        <v>12255</v>
      </c>
    </row>
    <row r="35" spans="1:5" ht="14.25" customHeight="1" x14ac:dyDescent="0.3">
      <c r="A35" s="12">
        <v>43951</v>
      </c>
      <c r="B35" s="7" t="s">
        <v>13</v>
      </c>
      <c r="C35" s="7">
        <v>19</v>
      </c>
      <c r="D35" s="7">
        <v>1499</v>
      </c>
      <c r="E35" s="7">
        <v>1322</v>
      </c>
    </row>
    <row r="36" spans="1:5" ht="14.25" customHeight="1" x14ac:dyDescent="0.3">
      <c r="A36" s="12">
        <v>43951</v>
      </c>
      <c r="B36" s="7" t="s">
        <v>23</v>
      </c>
      <c r="C36" s="7">
        <v>15</v>
      </c>
      <c r="D36" s="7">
        <v>644</v>
      </c>
      <c r="E36" s="7">
        <v>550</v>
      </c>
    </row>
    <row r="37" spans="1:5" ht="14.25" customHeight="1" x14ac:dyDescent="0.3">
      <c r="A37" s="12">
        <v>43951</v>
      </c>
      <c r="B37" s="7" t="s">
        <v>18</v>
      </c>
      <c r="C37" s="7">
        <v>15</v>
      </c>
      <c r="D37" s="7">
        <v>791</v>
      </c>
      <c r="E37" s="7">
        <v>691</v>
      </c>
    </row>
    <row r="38" spans="1:5" ht="14.25" customHeight="1" x14ac:dyDescent="0.3">
      <c r="A38" s="12">
        <v>43951</v>
      </c>
      <c r="B38" s="7" t="s">
        <v>19</v>
      </c>
      <c r="C38" s="7">
        <v>15</v>
      </c>
      <c r="D38" s="7">
        <v>262</v>
      </c>
      <c r="E38" s="7">
        <v>195</v>
      </c>
    </row>
    <row r="39" spans="1:5" ht="14.25" customHeight="1" x14ac:dyDescent="0.3">
      <c r="A39" s="12">
        <v>43951</v>
      </c>
      <c r="B39" s="7" t="s">
        <v>15</v>
      </c>
      <c r="C39" s="7">
        <v>125</v>
      </c>
      <c r="D39" s="7">
        <v>22368</v>
      </c>
      <c r="E39" s="7">
        <v>20625</v>
      </c>
    </row>
    <row r="40" spans="1:5" ht="14.25" customHeight="1" x14ac:dyDescent="0.3">
      <c r="A40" s="12">
        <v>43951</v>
      </c>
      <c r="B40" s="7" t="s">
        <v>14</v>
      </c>
      <c r="C40" s="7">
        <v>129</v>
      </c>
      <c r="D40" s="7">
        <v>18042</v>
      </c>
      <c r="E40" s="7">
        <v>16631</v>
      </c>
    </row>
    <row r="41" spans="1:5" ht="14.25" customHeight="1" x14ac:dyDescent="0.3">
      <c r="A41" s="12">
        <v>43951</v>
      </c>
      <c r="B41" s="7" t="s">
        <v>12</v>
      </c>
      <c r="C41" s="7">
        <v>10</v>
      </c>
      <c r="D41" s="7">
        <v>448</v>
      </c>
      <c r="E41" s="7">
        <v>376</v>
      </c>
    </row>
    <row r="42" spans="1:5" ht="14.25" customHeight="1" x14ac:dyDescent="0.3">
      <c r="A42" s="12">
        <v>43952</v>
      </c>
      <c r="B42" s="7" t="s">
        <v>16</v>
      </c>
      <c r="C42" s="7">
        <v>36</v>
      </c>
      <c r="D42" s="7">
        <v>5457</v>
      </c>
      <c r="E42" s="7">
        <v>4916</v>
      </c>
    </row>
    <row r="43" spans="1:5" ht="14.25" customHeight="1" x14ac:dyDescent="0.3">
      <c r="A43" s="12">
        <v>43952</v>
      </c>
      <c r="B43" s="7" t="s">
        <v>11</v>
      </c>
      <c r="C43" s="7">
        <v>31</v>
      </c>
      <c r="D43" s="7">
        <v>6118</v>
      </c>
      <c r="E43" s="7">
        <v>5564</v>
      </c>
    </row>
    <row r="44" spans="1:5" ht="14.25" customHeight="1" x14ac:dyDescent="0.3">
      <c r="A44" s="12">
        <v>43952</v>
      </c>
      <c r="B44" s="7" t="s">
        <v>17</v>
      </c>
      <c r="C44" s="7">
        <v>20</v>
      </c>
      <c r="D44" s="7">
        <v>2468</v>
      </c>
      <c r="E44" s="7">
        <v>2221</v>
      </c>
    </row>
    <row r="45" spans="1:5" ht="14.25" customHeight="1" x14ac:dyDescent="0.3">
      <c r="A45" s="12">
        <v>43952</v>
      </c>
      <c r="B45" s="7" t="s">
        <v>10</v>
      </c>
      <c r="C45" s="7">
        <v>18</v>
      </c>
      <c r="D45" s="7">
        <v>1826</v>
      </c>
      <c r="E45" s="7">
        <v>1633</v>
      </c>
    </row>
    <row r="46" spans="1:5" ht="14.25" customHeight="1" x14ac:dyDescent="0.3">
      <c r="A46" s="12">
        <v>43952</v>
      </c>
      <c r="B46" s="7" t="s">
        <v>20</v>
      </c>
      <c r="C46" s="7">
        <v>19</v>
      </c>
      <c r="D46" s="7">
        <v>1987</v>
      </c>
      <c r="E46" s="7">
        <v>1791</v>
      </c>
    </row>
    <row r="47" spans="1:5" ht="14.25" customHeight="1" x14ac:dyDescent="0.3">
      <c r="A47" s="12">
        <v>43952</v>
      </c>
      <c r="B47" s="7" t="s">
        <v>22</v>
      </c>
      <c r="C47" s="7">
        <v>54</v>
      </c>
      <c r="D47" s="7">
        <v>14205</v>
      </c>
      <c r="E47" s="7">
        <v>13026</v>
      </c>
    </row>
    <row r="48" spans="1:5" ht="14.25" customHeight="1" x14ac:dyDescent="0.3">
      <c r="A48" s="12">
        <v>43952</v>
      </c>
      <c r="B48" s="7" t="s">
        <v>21</v>
      </c>
      <c r="C48" s="7">
        <v>59</v>
      </c>
      <c r="D48" s="7">
        <v>15222</v>
      </c>
      <c r="E48" s="7">
        <v>13873</v>
      </c>
    </row>
    <row r="49" spans="1:5" ht="14.25" customHeight="1" x14ac:dyDescent="0.3">
      <c r="A49" s="12">
        <v>43952</v>
      </c>
      <c r="B49" s="7" t="s">
        <v>13</v>
      </c>
      <c r="C49" s="7">
        <v>19</v>
      </c>
      <c r="D49" s="7">
        <v>1497</v>
      </c>
      <c r="E49" s="7">
        <v>1291</v>
      </c>
    </row>
    <row r="50" spans="1:5" ht="14.25" customHeight="1" x14ac:dyDescent="0.3">
      <c r="A50" s="12">
        <v>43952</v>
      </c>
      <c r="B50" s="7" t="s">
        <v>23</v>
      </c>
      <c r="C50" s="7">
        <v>15</v>
      </c>
      <c r="D50" s="7">
        <v>721</v>
      </c>
      <c r="E50" s="7">
        <v>625</v>
      </c>
    </row>
    <row r="51" spans="1:5" ht="14.25" customHeight="1" x14ac:dyDescent="0.3">
      <c r="A51" s="12">
        <v>43952</v>
      </c>
      <c r="B51" s="7" t="s">
        <v>18</v>
      </c>
      <c r="C51" s="7">
        <v>15</v>
      </c>
      <c r="D51" s="7">
        <v>996</v>
      </c>
      <c r="E51" s="7">
        <v>888</v>
      </c>
    </row>
    <row r="52" spans="1:5" ht="14.25" customHeight="1" x14ac:dyDescent="0.3">
      <c r="A52" s="12">
        <v>43952</v>
      </c>
      <c r="B52" s="7" t="s">
        <v>19</v>
      </c>
      <c r="C52" s="7">
        <v>15</v>
      </c>
      <c r="D52" s="7">
        <v>294</v>
      </c>
      <c r="E52" s="7">
        <v>225</v>
      </c>
    </row>
    <row r="53" spans="1:5" ht="14.25" customHeight="1" x14ac:dyDescent="0.3">
      <c r="A53" s="12">
        <v>43952</v>
      </c>
      <c r="B53" s="7" t="s">
        <v>15</v>
      </c>
      <c r="C53" s="7">
        <v>125</v>
      </c>
      <c r="D53" s="7">
        <v>20602</v>
      </c>
      <c r="E53" s="7">
        <v>18845</v>
      </c>
    </row>
    <row r="54" spans="1:5" ht="14.25" customHeight="1" x14ac:dyDescent="0.3">
      <c r="A54" s="12">
        <v>43952</v>
      </c>
      <c r="B54" s="7" t="s">
        <v>14</v>
      </c>
      <c r="C54" s="7">
        <v>129</v>
      </c>
      <c r="D54" s="7">
        <v>17002</v>
      </c>
      <c r="E54" s="7">
        <v>15570</v>
      </c>
    </row>
    <row r="55" spans="1:5" ht="14.25" customHeight="1" x14ac:dyDescent="0.3">
      <c r="A55" s="12">
        <v>43952</v>
      </c>
      <c r="B55" s="7" t="s">
        <v>12</v>
      </c>
      <c r="C55" s="7">
        <v>10</v>
      </c>
      <c r="D55" s="7">
        <v>554</v>
      </c>
      <c r="E55" s="7">
        <v>472</v>
      </c>
    </row>
    <row r="56" spans="1:5" ht="14.25" customHeight="1" x14ac:dyDescent="0.3">
      <c r="A56" s="12">
        <v>43953</v>
      </c>
      <c r="B56" s="7" t="s">
        <v>16</v>
      </c>
      <c r="C56" s="7">
        <v>36</v>
      </c>
      <c r="D56" s="7">
        <v>3442</v>
      </c>
      <c r="E56" s="7">
        <v>3147</v>
      </c>
    </row>
    <row r="57" spans="1:5" ht="14.25" customHeight="1" x14ac:dyDescent="0.3">
      <c r="A57" s="12">
        <v>43953</v>
      </c>
      <c r="B57" s="7" t="s">
        <v>11</v>
      </c>
      <c r="C57" s="7">
        <v>31</v>
      </c>
      <c r="D57" s="7">
        <v>4157</v>
      </c>
      <c r="E57" s="7">
        <v>3823</v>
      </c>
    </row>
    <row r="58" spans="1:5" ht="14.25" customHeight="1" x14ac:dyDescent="0.3">
      <c r="A58" s="12">
        <v>43953</v>
      </c>
      <c r="B58" s="7" t="s">
        <v>17</v>
      </c>
      <c r="C58" s="7">
        <v>20</v>
      </c>
      <c r="D58" s="7">
        <v>1613</v>
      </c>
      <c r="E58" s="7">
        <v>1457</v>
      </c>
    </row>
    <row r="59" spans="1:5" ht="14.25" customHeight="1" x14ac:dyDescent="0.3">
      <c r="A59" s="12">
        <v>43953</v>
      </c>
      <c r="B59" s="7" t="s">
        <v>10</v>
      </c>
      <c r="C59" s="7">
        <v>18</v>
      </c>
      <c r="D59" s="7">
        <v>1708</v>
      </c>
      <c r="E59" s="7">
        <v>1534</v>
      </c>
    </row>
    <row r="60" spans="1:5" ht="14.25" customHeight="1" x14ac:dyDescent="0.3">
      <c r="A60" s="12">
        <v>43953</v>
      </c>
      <c r="B60" s="7" t="s">
        <v>20</v>
      </c>
      <c r="C60" s="7">
        <v>19</v>
      </c>
      <c r="D60" s="7">
        <v>1206</v>
      </c>
      <c r="E60" s="7">
        <v>1080</v>
      </c>
    </row>
    <row r="61" spans="1:5" ht="14.25" customHeight="1" x14ac:dyDescent="0.3">
      <c r="A61" s="12">
        <v>43953</v>
      </c>
      <c r="B61" s="7" t="s">
        <v>22</v>
      </c>
      <c r="C61" s="7">
        <v>54</v>
      </c>
      <c r="D61" s="7">
        <v>11622</v>
      </c>
      <c r="E61" s="7">
        <v>10754</v>
      </c>
    </row>
    <row r="62" spans="1:5" ht="14.25" customHeight="1" x14ac:dyDescent="0.3">
      <c r="A62" s="12">
        <v>43953</v>
      </c>
      <c r="B62" s="7" t="s">
        <v>21</v>
      </c>
      <c r="C62" s="7">
        <v>59</v>
      </c>
      <c r="D62" s="7">
        <v>12429</v>
      </c>
      <c r="E62" s="7">
        <v>11477</v>
      </c>
    </row>
    <row r="63" spans="1:5" ht="14.25" customHeight="1" x14ac:dyDescent="0.3">
      <c r="A63" s="12">
        <v>43953</v>
      </c>
      <c r="B63" s="7" t="s">
        <v>13</v>
      </c>
      <c r="C63" s="7">
        <v>19</v>
      </c>
      <c r="D63" s="7">
        <v>1217</v>
      </c>
      <c r="E63" s="7">
        <v>1048</v>
      </c>
    </row>
    <row r="64" spans="1:5" ht="14.25" customHeight="1" x14ac:dyDescent="0.3">
      <c r="A64" s="12">
        <v>43953</v>
      </c>
      <c r="B64" s="7" t="s">
        <v>23</v>
      </c>
      <c r="C64" s="7">
        <v>15</v>
      </c>
      <c r="D64" s="7">
        <v>567</v>
      </c>
      <c r="E64" s="7">
        <v>493</v>
      </c>
    </row>
    <row r="65" spans="1:5" ht="14.25" customHeight="1" x14ac:dyDescent="0.3">
      <c r="A65" s="12">
        <v>43953</v>
      </c>
      <c r="B65" s="7" t="s">
        <v>18</v>
      </c>
      <c r="C65" s="7">
        <v>15</v>
      </c>
      <c r="D65" s="7">
        <v>751</v>
      </c>
      <c r="E65" s="7">
        <v>651</v>
      </c>
    </row>
    <row r="66" spans="1:5" ht="14.25" customHeight="1" x14ac:dyDescent="0.3">
      <c r="A66" s="12">
        <v>43953</v>
      </c>
      <c r="B66" s="7" t="s">
        <v>19</v>
      </c>
      <c r="C66" s="7">
        <v>15</v>
      </c>
      <c r="D66" s="7">
        <v>274</v>
      </c>
      <c r="E66" s="7">
        <v>203</v>
      </c>
    </row>
    <row r="67" spans="1:5" ht="14.25" customHeight="1" x14ac:dyDescent="0.3">
      <c r="A67" s="12">
        <v>43953</v>
      </c>
      <c r="B67" s="7" t="s">
        <v>15</v>
      </c>
      <c r="C67" s="7">
        <v>125</v>
      </c>
      <c r="D67" s="7">
        <v>16932</v>
      </c>
      <c r="E67" s="7">
        <v>15601</v>
      </c>
    </row>
    <row r="68" spans="1:5" ht="14.25" customHeight="1" x14ac:dyDescent="0.3">
      <c r="A68" s="12">
        <v>43953</v>
      </c>
      <c r="B68" s="7" t="s">
        <v>14</v>
      </c>
      <c r="C68" s="7">
        <v>129</v>
      </c>
      <c r="D68" s="7">
        <v>14009</v>
      </c>
      <c r="E68" s="7">
        <v>12920</v>
      </c>
    </row>
    <row r="69" spans="1:5" ht="14.25" customHeight="1" x14ac:dyDescent="0.3">
      <c r="A69" s="12">
        <v>43953</v>
      </c>
      <c r="B69" s="7" t="s">
        <v>12</v>
      </c>
      <c r="C69" s="7">
        <v>10</v>
      </c>
      <c r="D69" s="7">
        <v>416</v>
      </c>
      <c r="E69" s="7">
        <v>341</v>
      </c>
    </row>
    <row r="70" spans="1:5" ht="14.25" customHeight="1" x14ac:dyDescent="0.3">
      <c r="A70" s="12">
        <v>43954</v>
      </c>
      <c r="B70" s="7" t="s">
        <v>16</v>
      </c>
      <c r="C70" s="7">
        <v>36</v>
      </c>
      <c r="D70" s="7">
        <v>4751</v>
      </c>
      <c r="E70" s="7">
        <v>4370</v>
      </c>
    </row>
    <row r="71" spans="1:5" ht="14.25" customHeight="1" x14ac:dyDescent="0.3">
      <c r="A71" s="12">
        <v>43954</v>
      </c>
      <c r="B71" s="7" t="s">
        <v>11</v>
      </c>
      <c r="C71" s="7">
        <v>31</v>
      </c>
      <c r="D71" s="7">
        <v>5155</v>
      </c>
      <c r="E71" s="7">
        <v>4762</v>
      </c>
    </row>
    <row r="72" spans="1:5" ht="14.25" customHeight="1" x14ac:dyDescent="0.3">
      <c r="A72" s="12">
        <v>43954</v>
      </c>
      <c r="B72" s="7" t="s">
        <v>17</v>
      </c>
      <c r="C72" s="7">
        <v>20</v>
      </c>
      <c r="D72" s="7">
        <v>1716</v>
      </c>
      <c r="E72" s="7">
        <v>1561</v>
      </c>
    </row>
    <row r="73" spans="1:5" ht="14.25" customHeight="1" x14ac:dyDescent="0.3">
      <c r="A73" s="12">
        <v>43954</v>
      </c>
      <c r="B73" s="7" t="s">
        <v>10</v>
      </c>
      <c r="C73" s="7">
        <v>20</v>
      </c>
      <c r="D73" s="7">
        <v>1520</v>
      </c>
      <c r="E73" s="7">
        <v>1373</v>
      </c>
    </row>
    <row r="74" spans="1:5" ht="14.25" customHeight="1" x14ac:dyDescent="0.3">
      <c r="A74" s="12">
        <v>43954</v>
      </c>
      <c r="B74" s="7" t="s">
        <v>20</v>
      </c>
      <c r="C74" s="7">
        <v>19</v>
      </c>
      <c r="D74" s="7">
        <v>1314</v>
      </c>
      <c r="E74" s="7">
        <v>1192</v>
      </c>
    </row>
    <row r="75" spans="1:5" ht="14.25" customHeight="1" x14ac:dyDescent="0.3">
      <c r="A75" s="12">
        <v>43954</v>
      </c>
      <c r="B75" s="7" t="s">
        <v>22</v>
      </c>
      <c r="C75" s="7">
        <v>54</v>
      </c>
      <c r="D75" s="7">
        <v>14823</v>
      </c>
      <c r="E75" s="7">
        <v>13751</v>
      </c>
    </row>
    <row r="76" spans="1:5" ht="14.25" customHeight="1" x14ac:dyDescent="0.3">
      <c r="A76" s="12">
        <v>43954</v>
      </c>
      <c r="B76" s="7" t="s">
        <v>21</v>
      </c>
      <c r="C76" s="7">
        <v>59</v>
      </c>
      <c r="D76" s="7">
        <v>15277</v>
      </c>
      <c r="E76" s="7">
        <v>14163</v>
      </c>
    </row>
    <row r="77" spans="1:5" ht="14.25" customHeight="1" x14ac:dyDescent="0.3">
      <c r="A77" s="12">
        <v>43954</v>
      </c>
      <c r="B77" s="7" t="s">
        <v>13</v>
      </c>
      <c r="C77" s="7">
        <v>19</v>
      </c>
      <c r="D77" s="7">
        <v>1402</v>
      </c>
      <c r="E77" s="7">
        <v>1234</v>
      </c>
    </row>
    <row r="78" spans="1:5" ht="14.25" customHeight="1" x14ac:dyDescent="0.3">
      <c r="A78" s="12">
        <v>43954</v>
      </c>
      <c r="B78" s="7" t="s">
        <v>23</v>
      </c>
      <c r="C78" s="7">
        <v>15</v>
      </c>
      <c r="D78" s="7">
        <v>585</v>
      </c>
      <c r="E78" s="7">
        <v>502</v>
      </c>
    </row>
    <row r="79" spans="1:5" ht="14.25" customHeight="1" x14ac:dyDescent="0.3">
      <c r="A79" s="12">
        <v>43954</v>
      </c>
      <c r="B79" s="7" t="s">
        <v>18</v>
      </c>
      <c r="C79" s="7">
        <v>15</v>
      </c>
      <c r="D79" s="7">
        <v>784</v>
      </c>
      <c r="E79" s="7">
        <v>696</v>
      </c>
    </row>
    <row r="80" spans="1:5" ht="14.25" customHeight="1" x14ac:dyDescent="0.3">
      <c r="A80" s="12">
        <v>43954</v>
      </c>
      <c r="B80" s="7" t="s">
        <v>19</v>
      </c>
      <c r="C80" s="7">
        <v>15</v>
      </c>
      <c r="D80" s="7">
        <v>455</v>
      </c>
      <c r="E80" s="7">
        <v>384</v>
      </c>
    </row>
    <row r="81" spans="1:5" ht="14.25" customHeight="1" x14ac:dyDescent="0.3">
      <c r="A81" s="12">
        <v>43954</v>
      </c>
      <c r="B81" s="7" t="s">
        <v>15</v>
      </c>
      <c r="C81" s="7">
        <v>125</v>
      </c>
      <c r="D81" s="7">
        <v>18861</v>
      </c>
      <c r="E81" s="7">
        <v>17420</v>
      </c>
    </row>
    <row r="82" spans="1:5" ht="14.25" customHeight="1" x14ac:dyDescent="0.3">
      <c r="A82" s="12">
        <v>43954</v>
      </c>
      <c r="B82" s="7" t="s">
        <v>14</v>
      </c>
      <c r="C82" s="7">
        <v>129</v>
      </c>
      <c r="D82" s="7">
        <v>15778</v>
      </c>
      <c r="E82" s="7">
        <v>14624</v>
      </c>
    </row>
    <row r="83" spans="1:5" ht="14.25" customHeight="1" x14ac:dyDescent="0.3">
      <c r="A83" s="12">
        <v>43954</v>
      </c>
      <c r="B83" s="7" t="s">
        <v>12</v>
      </c>
      <c r="C83" s="7">
        <v>10</v>
      </c>
      <c r="D83" s="7">
        <v>402</v>
      </c>
      <c r="E83" s="7">
        <v>333</v>
      </c>
    </row>
    <row r="84" spans="1:5" ht="14.25" customHeight="1" x14ac:dyDescent="0.3">
      <c r="A84" s="12">
        <v>43955</v>
      </c>
      <c r="B84" s="7" t="s">
        <v>16</v>
      </c>
      <c r="C84" s="7">
        <v>36</v>
      </c>
      <c r="D84" s="7">
        <v>4508</v>
      </c>
      <c r="E84" s="7">
        <v>4149</v>
      </c>
    </row>
    <row r="85" spans="1:5" ht="14.25" customHeight="1" x14ac:dyDescent="0.3">
      <c r="A85" s="12">
        <v>43955</v>
      </c>
      <c r="B85" s="7" t="s">
        <v>11</v>
      </c>
      <c r="C85" s="7">
        <v>31</v>
      </c>
      <c r="D85" s="7">
        <v>4968</v>
      </c>
      <c r="E85" s="7">
        <v>4596</v>
      </c>
    </row>
    <row r="86" spans="1:5" ht="14.25" customHeight="1" x14ac:dyDescent="0.3">
      <c r="A86" s="12">
        <v>43955</v>
      </c>
      <c r="B86" s="7" t="s">
        <v>17</v>
      </c>
      <c r="C86" s="7">
        <v>20</v>
      </c>
      <c r="D86" s="7">
        <v>1804</v>
      </c>
      <c r="E86" s="7">
        <v>1638</v>
      </c>
    </row>
    <row r="87" spans="1:5" ht="14.25" customHeight="1" x14ac:dyDescent="0.3">
      <c r="A87" s="12">
        <v>43955</v>
      </c>
      <c r="B87" s="7" t="s">
        <v>10</v>
      </c>
      <c r="C87" s="7">
        <v>20</v>
      </c>
      <c r="D87" s="7">
        <v>1519</v>
      </c>
      <c r="E87" s="7">
        <v>1372</v>
      </c>
    </row>
    <row r="88" spans="1:5" ht="14.25" customHeight="1" x14ac:dyDescent="0.3">
      <c r="A88" s="12">
        <v>43955</v>
      </c>
      <c r="B88" s="7" t="s">
        <v>20</v>
      </c>
      <c r="C88" s="7">
        <v>19</v>
      </c>
      <c r="D88" s="7">
        <v>1479</v>
      </c>
      <c r="E88" s="7">
        <v>1346</v>
      </c>
    </row>
    <row r="89" spans="1:5" ht="14.25" customHeight="1" x14ac:dyDescent="0.3">
      <c r="A89" s="12">
        <v>43955</v>
      </c>
      <c r="B89" s="7" t="s">
        <v>22</v>
      </c>
      <c r="C89" s="7">
        <v>54</v>
      </c>
      <c r="D89" s="7">
        <v>13606</v>
      </c>
      <c r="E89" s="7">
        <v>12697</v>
      </c>
    </row>
    <row r="90" spans="1:5" ht="14.25" customHeight="1" x14ac:dyDescent="0.3">
      <c r="A90" s="12">
        <v>43955</v>
      </c>
      <c r="B90" s="7" t="s">
        <v>21</v>
      </c>
      <c r="C90" s="7">
        <v>59</v>
      </c>
      <c r="D90" s="7">
        <v>14423</v>
      </c>
      <c r="E90" s="7">
        <v>13432</v>
      </c>
    </row>
    <row r="91" spans="1:5" ht="14.25" customHeight="1" x14ac:dyDescent="0.3">
      <c r="A91" s="12">
        <v>43955</v>
      </c>
      <c r="B91" s="7" t="s">
        <v>13</v>
      </c>
      <c r="C91" s="7">
        <v>19</v>
      </c>
      <c r="D91" s="7">
        <v>1582</v>
      </c>
      <c r="E91" s="7">
        <v>1403</v>
      </c>
    </row>
    <row r="92" spans="1:5" ht="14.25" customHeight="1" x14ac:dyDescent="0.3">
      <c r="A92" s="12">
        <v>43955</v>
      </c>
      <c r="B92" s="7" t="s">
        <v>23</v>
      </c>
      <c r="C92" s="7">
        <v>15</v>
      </c>
      <c r="D92" s="7">
        <v>622</v>
      </c>
      <c r="E92" s="7">
        <v>538</v>
      </c>
    </row>
    <row r="93" spans="1:5" ht="14.25" customHeight="1" x14ac:dyDescent="0.3">
      <c r="A93" s="12">
        <v>43955</v>
      </c>
      <c r="B93" s="7" t="s">
        <v>18</v>
      </c>
      <c r="C93" s="7">
        <v>15</v>
      </c>
      <c r="D93" s="7">
        <v>750</v>
      </c>
      <c r="E93" s="7">
        <v>647</v>
      </c>
    </row>
    <row r="94" spans="1:5" ht="14.25" customHeight="1" x14ac:dyDescent="0.3">
      <c r="A94" s="12">
        <v>43955</v>
      </c>
      <c r="B94" s="7" t="s">
        <v>19</v>
      </c>
      <c r="C94" s="7">
        <v>15</v>
      </c>
      <c r="D94" s="7">
        <v>390</v>
      </c>
      <c r="E94" s="7">
        <v>315</v>
      </c>
    </row>
    <row r="95" spans="1:5" ht="14.25" customHeight="1" x14ac:dyDescent="0.3">
      <c r="A95" s="12">
        <v>43955</v>
      </c>
      <c r="B95" s="7" t="s">
        <v>15</v>
      </c>
      <c r="C95" s="7">
        <v>125</v>
      </c>
      <c r="D95" s="7">
        <v>20495</v>
      </c>
      <c r="E95" s="7">
        <v>18964</v>
      </c>
    </row>
    <row r="96" spans="1:5" ht="14.25" customHeight="1" x14ac:dyDescent="0.3">
      <c r="A96" s="12">
        <v>43955</v>
      </c>
      <c r="B96" s="7" t="s">
        <v>14</v>
      </c>
      <c r="C96" s="7">
        <v>129</v>
      </c>
      <c r="D96" s="7">
        <v>16525</v>
      </c>
      <c r="E96" s="7">
        <v>15310</v>
      </c>
    </row>
    <row r="97" spans="1:5" ht="14.25" customHeight="1" x14ac:dyDescent="0.3">
      <c r="A97" s="12">
        <v>43955</v>
      </c>
      <c r="B97" s="7" t="s">
        <v>12</v>
      </c>
      <c r="C97" s="7">
        <v>10</v>
      </c>
      <c r="D97" s="7">
        <v>462</v>
      </c>
      <c r="E97" s="7">
        <v>396</v>
      </c>
    </row>
    <row r="98" spans="1:5" ht="14.25" customHeight="1" x14ac:dyDescent="0.3">
      <c r="A98" s="12">
        <v>43956</v>
      </c>
      <c r="B98" s="7" t="s">
        <v>16</v>
      </c>
      <c r="C98" s="7">
        <v>36</v>
      </c>
      <c r="D98" s="7">
        <v>4575</v>
      </c>
      <c r="E98" s="7">
        <v>4206</v>
      </c>
    </row>
    <row r="99" spans="1:5" ht="14.25" customHeight="1" x14ac:dyDescent="0.3">
      <c r="A99" s="12">
        <v>43956</v>
      </c>
      <c r="B99" s="7" t="s">
        <v>11</v>
      </c>
      <c r="C99" s="7">
        <v>31</v>
      </c>
      <c r="D99" s="7">
        <v>5188</v>
      </c>
      <c r="E99" s="7">
        <v>4800</v>
      </c>
    </row>
    <row r="100" spans="1:5" ht="14.25" customHeight="1" x14ac:dyDescent="0.3">
      <c r="A100" s="12">
        <v>43956</v>
      </c>
      <c r="B100" s="7" t="s">
        <v>17</v>
      </c>
      <c r="C100" s="7">
        <v>20</v>
      </c>
      <c r="D100" s="7">
        <v>1757</v>
      </c>
      <c r="E100" s="7">
        <v>1596</v>
      </c>
    </row>
    <row r="101" spans="1:5" ht="14.25" customHeight="1" x14ac:dyDescent="0.3">
      <c r="A101" s="12">
        <v>43956</v>
      </c>
      <c r="B101" s="7" t="s">
        <v>10</v>
      </c>
      <c r="C101" s="7">
        <v>20</v>
      </c>
      <c r="D101" s="7">
        <v>1773</v>
      </c>
      <c r="E101" s="7">
        <v>1604</v>
      </c>
    </row>
    <row r="102" spans="1:5" ht="14.25" customHeight="1" x14ac:dyDescent="0.3">
      <c r="A102" s="12">
        <v>43956</v>
      </c>
      <c r="B102" s="7" t="s">
        <v>20</v>
      </c>
      <c r="C102" s="7">
        <v>19</v>
      </c>
      <c r="D102" s="7">
        <v>1622</v>
      </c>
      <c r="E102" s="7">
        <v>1482</v>
      </c>
    </row>
    <row r="103" spans="1:5" ht="14.25" customHeight="1" x14ac:dyDescent="0.3">
      <c r="A103" s="12">
        <v>43956</v>
      </c>
      <c r="B103" s="7" t="s">
        <v>22</v>
      </c>
      <c r="C103" s="7">
        <v>54</v>
      </c>
      <c r="D103" s="7">
        <v>12775</v>
      </c>
      <c r="E103" s="7">
        <v>11887</v>
      </c>
    </row>
    <row r="104" spans="1:5" ht="14.25" customHeight="1" x14ac:dyDescent="0.3">
      <c r="A104" s="12">
        <v>43956</v>
      </c>
      <c r="B104" s="7" t="s">
        <v>21</v>
      </c>
      <c r="C104" s="7">
        <v>59</v>
      </c>
      <c r="D104" s="7">
        <v>13469</v>
      </c>
      <c r="E104" s="7">
        <v>12486</v>
      </c>
    </row>
    <row r="105" spans="1:5" ht="14.25" customHeight="1" x14ac:dyDescent="0.3">
      <c r="A105" s="12">
        <v>43956</v>
      </c>
      <c r="B105" s="7" t="s">
        <v>13</v>
      </c>
      <c r="C105" s="7">
        <v>19</v>
      </c>
      <c r="D105" s="7">
        <v>1417</v>
      </c>
      <c r="E105" s="7">
        <v>1245</v>
      </c>
    </row>
    <row r="106" spans="1:5" ht="14.25" customHeight="1" x14ac:dyDescent="0.3">
      <c r="A106" s="12">
        <v>43956</v>
      </c>
      <c r="B106" s="7" t="s">
        <v>23</v>
      </c>
      <c r="C106" s="7">
        <v>15</v>
      </c>
      <c r="D106" s="7">
        <v>750</v>
      </c>
      <c r="E106" s="7">
        <v>658</v>
      </c>
    </row>
    <row r="107" spans="1:5" ht="14.25" customHeight="1" x14ac:dyDescent="0.3">
      <c r="A107" s="12">
        <v>43956</v>
      </c>
      <c r="B107" s="7" t="s">
        <v>18</v>
      </c>
      <c r="C107" s="7">
        <v>15</v>
      </c>
      <c r="D107" s="7">
        <v>922</v>
      </c>
      <c r="E107" s="7">
        <v>823</v>
      </c>
    </row>
    <row r="108" spans="1:5" ht="14.25" customHeight="1" x14ac:dyDescent="0.3">
      <c r="A108" s="12">
        <v>43956</v>
      </c>
      <c r="B108" s="7" t="s">
        <v>19</v>
      </c>
      <c r="C108" s="7">
        <v>15</v>
      </c>
      <c r="D108" s="7">
        <v>455</v>
      </c>
      <c r="E108" s="7">
        <v>381</v>
      </c>
    </row>
    <row r="109" spans="1:5" ht="14.25" customHeight="1" x14ac:dyDescent="0.3">
      <c r="A109" s="12">
        <v>43956</v>
      </c>
      <c r="B109" s="7" t="s">
        <v>15</v>
      </c>
      <c r="C109" s="7">
        <v>125</v>
      </c>
      <c r="D109" s="7">
        <v>18944</v>
      </c>
      <c r="E109" s="7">
        <v>17541</v>
      </c>
    </row>
    <row r="110" spans="1:5" ht="14.25" customHeight="1" x14ac:dyDescent="0.3">
      <c r="A110" s="12">
        <v>43956</v>
      </c>
      <c r="B110" s="7" t="s">
        <v>14</v>
      </c>
      <c r="C110" s="7">
        <v>129</v>
      </c>
      <c r="D110" s="7">
        <v>15665</v>
      </c>
      <c r="E110" s="7">
        <v>14501</v>
      </c>
    </row>
    <row r="111" spans="1:5" ht="14.25" customHeight="1" x14ac:dyDescent="0.3">
      <c r="A111" s="12">
        <v>43956</v>
      </c>
      <c r="B111" s="7" t="s">
        <v>12</v>
      </c>
      <c r="C111" s="7">
        <v>10</v>
      </c>
      <c r="D111" s="7">
        <v>511</v>
      </c>
      <c r="E111" s="7">
        <v>437</v>
      </c>
    </row>
    <row r="112" spans="1:5" ht="14.25" customHeight="1" x14ac:dyDescent="0.3">
      <c r="A112" s="12">
        <v>43957</v>
      </c>
      <c r="B112" s="7" t="s">
        <v>16</v>
      </c>
      <c r="C112" s="7">
        <v>36</v>
      </c>
      <c r="D112" s="7">
        <v>4384</v>
      </c>
      <c r="E112" s="7">
        <v>4025</v>
      </c>
    </row>
    <row r="113" spans="1:5" ht="14.25" customHeight="1" x14ac:dyDescent="0.3">
      <c r="A113" s="12">
        <v>43957</v>
      </c>
      <c r="B113" s="7" t="s">
        <v>11</v>
      </c>
      <c r="C113" s="7">
        <v>31</v>
      </c>
      <c r="D113" s="7">
        <v>4709</v>
      </c>
      <c r="E113" s="7">
        <v>4348</v>
      </c>
    </row>
    <row r="114" spans="1:5" ht="14.25" customHeight="1" x14ac:dyDescent="0.3">
      <c r="A114" s="12">
        <v>43957</v>
      </c>
      <c r="B114" s="7" t="s">
        <v>17</v>
      </c>
      <c r="C114" s="7">
        <v>20</v>
      </c>
      <c r="D114" s="7">
        <v>1747</v>
      </c>
      <c r="E114" s="7">
        <v>1570</v>
      </c>
    </row>
    <row r="115" spans="1:5" ht="14.25" customHeight="1" x14ac:dyDescent="0.3">
      <c r="A115" s="12">
        <v>43957</v>
      </c>
      <c r="B115" s="7" t="s">
        <v>10</v>
      </c>
      <c r="C115" s="7">
        <v>20</v>
      </c>
      <c r="D115" s="7">
        <v>1784</v>
      </c>
      <c r="E115" s="7">
        <v>1632</v>
      </c>
    </row>
    <row r="116" spans="1:5" ht="14.25" customHeight="1" x14ac:dyDescent="0.3">
      <c r="A116" s="12">
        <v>43957</v>
      </c>
      <c r="B116" s="7" t="s">
        <v>20</v>
      </c>
      <c r="C116" s="7">
        <v>19</v>
      </c>
      <c r="D116" s="7">
        <v>1509</v>
      </c>
      <c r="E116" s="7">
        <v>1374</v>
      </c>
    </row>
    <row r="117" spans="1:5" ht="14.25" customHeight="1" x14ac:dyDescent="0.3">
      <c r="A117" s="12">
        <v>43957</v>
      </c>
      <c r="B117" s="7" t="s">
        <v>22</v>
      </c>
      <c r="C117" s="7">
        <v>54</v>
      </c>
      <c r="D117" s="7">
        <v>13406</v>
      </c>
      <c r="E117" s="7">
        <v>12518</v>
      </c>
    </row>
    <row r="118" spans="1:5" ht="14.25" customHeight="1" x14ac:dyDescent="0.3">
      <c r="A118" s="12">
        <v>43957</v>
      </c>
      <c r="B118" s="7" t="s">
        <v>21</v>
      </c>
      <c r="C118" s="7">
        <v>59</v>
      </c>
      <c r="D118" s="7">
        <v>14103</v>
      </c>
      <c r="E118" s="7">
        <v>13118</v>
      </c>
    </row>
    <row r="119" spans="1:5" ht="14.25" customHeight="1" x14ac:dyDescent="0.3">
      <c r="A119" s="12">
        <v>43957</v>
      </c>
      <c r="B119" s="7" t="s">
        <v>13</v>
      </c>
      <c r="C119" s="7">
        <v>19</v>
      </c>
      <c r="D119" s="7">
        <v>1499</v>
      </c>
      <c r="E119" s="7">
        <v>1323</v>
      </c>
    </row>
    <row r="120" spans="1:5" ht="14.25" customHeight="1" x14ac:dyDescent="0.3">
      <c r="A120" s="12">
        <v>43957</v>
      </c>
      <c r="B120" s="7" t="s">
        <v>23</v>
      </c>
      <c r="C120" s="7">
        <v>15</v>
      </c>
      <c r="D120" s="7">
        <v>701</v>
      </c>
      <c r="E120" s="7">
        <v>611</v>
      </c>
    </row>
    <row r="121" spans="1:5" ht="14.25" customHeight="1" x14ac:dyDescent="0.3">
      <c r="A121" s="12">
        <v>43957</v>
      </c>
      <c r="B121" s="7" t="s">
        <v>18</v>
      </c>
      <c r="C121" s="7">
        <v>15</v>
      </c>
      <c r="D121" s="7">
        <v>839</v>
      </c>
      <c r="E121" s="7">
        <v>733</v>
      </c>
    </row>
    <row r="122" spans="1:5" ht="14.25" customHeight="1" x14ac:dyDescent="0.3">
      <c r="A122" s="12">
        <v>43957</v>
      </c>
      <c r="B122" s="7" t="s">
        <v>19</v>
      </c>
      <c r="C122" s="7">
        <v>15</v>
      </c>
      <c r="D122" s="7">
        <v>467</v>
      </c>
      <c r="E122" s="7">
        <v>389</v>
      </c>
    </row>
    <row r="123" spans="1:5" ht="14.25" customHeight="1" x14ac:dyDescent="0.3">
      <c r="A123" s="12">
        <v>43957</v>
      </c>
      <c r="B123" s="7" t="s">
        <v>15</v>
      </c>
      <c r="C123" s="7">
        <v>125</v>
      </c>
      <c r="D123" s="7">
        <v>20218</v>
      </c>
      <c r="E123" s="7">
        <v>18647</v>
      </c>
    </row>
    <row r="124" spans="1:5" ht="14.25" customHeight="1" x14ac:dyDescent="0.3">
      <c r="A124" s="12">
        <v>43957</v>
      </c>
      <c r="B124" s="7" t="s">
        <v>14</v>
      </c>
      <c r="C124" s="7">
        <v>129</v>
      </c>
      <c r="D124" s="7">
        <v>16376</v>
      </c>
      <c r="E124" s="7">
        <v>15197</v>
      </c>
    </row>
    <row r="125" spans="1:5" ht="14.25" customHeight="1" x14ac:dyDescent="0.3">
      <c r="A125" s="12">
        <v>43957</v>
      </c>
      <c r="B125" s="7" t="s">
        <v>12</v>
      </c>
      <c r="C125" s="7">
        <v>10</v>
      </c>
      <c r="D125" s="7">
        <v>465</v>
      </c>
      <c r="E125" s="7">
        <v>390</v>
      </c>
    </row>
    <row r="126" spans="1:5" ht="14.25" customHeight="1" x14ac:dyDescent="0.3">
      <c r="A126" s="12">
        <v>43958</v>
      </c>
      <c r="B126" s="7" t="s">
        <v>16</v>
      </c>
      <c r="C126" s="7">
        <v>36</v>
      </c>
      <c r="D126" s="7">
        <v>4826</v>
      </c>
      <c r="E126" s="7">
        <v>4426</v>
      </c>
    </row>
    <row r="127" spans="1:5" ht="14.25" customHeight="1" x14ac:dyDescent="0.3">
      <c r="A127" s="12">
        <v>43958</v>
      </c>
      <c r="B127" s="7" t="s">
        <v>11</v>
      </c>
      <c r="C127" s="7">
        <v>31</v>
      </c>
      <c r="D127" s="7">
        <v>4903</v>
      </c>
      <c r="E127" s="7">
        <v>4527</v>
      </c>
    </row>
    <row r="128" spans="1:5" ht="14.25" customHeight="1" x14ac:dyDescent="0.3">
      <c r="A128" s="12">
        <v>43958</v>
      </c>
      <c r="B128" s="7" t="s">
        <v>17</v>
      </c>
      <c r="C128" s="7">
        <v>21</v>
      </c>
      <c r="D128" s="7">
        <v>1879</v>
      </c>
      <c r="E128" s="7">
        <v>1695</v>
      </c>
    </row>
    <row r="129" spans="1:5" ht="14.25" customHeight="1" x14ac:dyDescent="0.3">
      <c r="A129" s="12">
        <v>43958</v>
      </c>
      <c r="B129" s="7" t="s">
        <v>10</v>
      </c>
      <c r="C129" s="7">
        <v>21</v>
      </c>
      <c r="D129" s="7">
        <v>1542</v>
      </c>
      <c r="E129" s="7">
        <v>1405</v>
      </c>
    </row>
    <row r="130" spans="1:5" ht="14.25" customHeight="1" x14ac:dyDescent="0.3">
      <c r="A130" s="12">
        <v>43958</v>
      </c>
      <c r="B130" s="7" t="s">
        <v>20</v>
      </c>
      <c r="C130" s="7">
        <v>19</v>
      </c>
      <c r="D130" s="7">
        <v>1580</v>
      </c>
      <c r="E130" s="7">
        <v>1435</v>
      </c>
    </row>
    <row r="131" spans="1:5" ht="14.25" customHeight="1" x14ac:dyDescent="0.3">
      <c r="A131" s="12">
        <v>43958</v>
      </c>
      <c r="B131" s="7" t="s">
        <v>22</v>
      </c>
      <c r="C131" s="7">
        <v>54</v>
      </c>
      <c r="D131" s="7">
        <v>12743</v>
      </c>
      <c r="E131" s="7">
        <v>11858</v>
      </c>
    </row>
    <row r="132" spans="1:5" ht="14.25" customHeight="1" x14ac:dyDescent="0.3">
      <c r="A132" s="12">
        <v>43958</v>
      </c>
      <c r="B132" s="7" t="s">
        <v>21</v>
      </c>
      <c r="C132" s="7">
        <v>59</v>
      </c>
      <c r="D132" s="7">
        <v>13495</v>
      </c>
      <c r="E132" s="7">
        <v>12517</v>
      </c>
    </row>
    <row r="133" spans="1:5" ht="14.25" customHeight="1" x14ac:dyDescent="0.3">
      <c r="A133" s="12">
        <v>43958</v>
      </c>
      <c r="B133" s="7" t="s">
        <v>13</v>
      </c>
      <c r="C133" s="7">
        <v>19</v>
      </c>
      <c r="D133" s="7">
        <v>1530</v>
      </c>
      <c r="E133" s="7">
        <v>1338</v>
      </c>
    </row>
    <row r="134" spans="1:5" ht="14.25" customHeight="1" x14ac:dyDescent="0.3">
      <c r="A134" s="12">
        <v>43958</v>
      </c>
      <c r="B134" s="7" t="s">
        <v>23</v>
      </c>
      <c r="C134" s="7">
        <v>15</v>
      </c>
      <c r="D134" s="7">
        <v>676</v>
      </c>
      <c r="E134" s="7">
        <v>591</v>
      </c>
    </row>
    <row r="135" spans="1:5" ht="14.25" customHeight="1" x14ac:dyDescent="0.3">
      <c r="A135" s="12">
        <v>43958</v>
      </c>
      <c r="B135" s="7" t="s">
        <v>18</v>
      </c>
      <c r="C135" s="7">
        <v>15</v>
      </c>
      <c r="D135" s="7">
        <v>805</v>
      </c>
      <c r="E135" s="7">
        <v>703</v>
      </c>
    </row>
    <row r="136" spans="1:5" ht="14.25" customHeight="1" x14ac:dyDescent="0.3">
      <c r="A136" s="12">
        <v>43958</v>
      </c>
      <c r="B136" s="7" t="s">
        <v>19</v>
      </c>
      <c r="C136" s="7">
        <v>15</v>
      </c>
      <c r="D136" s="7">
        <v>480</v>
      </c>
      <c r="E136" s="7">
        <v>398</v>
      </c>
    </row>
    <row r="137" spans="1:5" ht="14.25" customHeight="1" x14ac:dyDescent="0.3">
      <c r="A137" s="12">
        <v>43958</v>
      </c>
      <c r="B137" s="7" t="s">
        <v>15</v>
      </c>
      <c r="C137" s="7">
        <v>125</v>
      </c>
      <c r="D137" s="7">
        <v>18014</v>
      </c>
      <c r="E137" s="7">
        <v>16675</v>
      </c>
    </row>
    <row r="138" spans="1:5" ht="14.25" customHeight="1" x14ac:dyDescent="0.3">
      <c r="A138" s="12">
        <v>43958</v>
      </c>
      <c r="B138" s="7" t="s">
        <v>14</v>
      </c>
      <c r="C138" s="7">
        <v>129</v>
      </c>
      <c r="D138" s="7">
        <v>14582</v>
      </c>
      <c r="E138" s="7">
        <v>13512</v>
      </c>
    </row>
    <row r="139" spans="1:5" ht="14.25" customHeight="1" x14ac:dyDescent="0.3">
      <c r="A139" s="12">
        <v>43958</v>
      </c>
      <c r="B139" s="7" t="s">
        <v>12</v>
      </c>
      <c r="C139" s="7">
        <v>10</v>
      </c>
      <c r="D139" s="7">
        <v>563</v>
      </c>
      <c r="E139" s="7">
        <v>486</v>
      </c>
    </row>
    <row r="140" spans="1:5" ht="14.25" customHeight="1" x14ac:dyDescent="0.3">
      <c r="A140" s="12">
        <v>43959</v>
      </c>
      <c r="B140" s="7" t="s">
        <v>16</v>
      </c>
      <c r="C140" s="7">
        <v>36</v>
      </c>
      <c r="D140" s="7">
        <v>4199</v>
      </c>
      <c r="E140" s="7">
        <v>3867</v>
      </c>
    </row>
    <row r="141" spans="1:5" ht="14.25" customHeight="1" x14ac:dyDescent="0.3">
      <c r="A141" s="12">
        <v>43959</v>
      </c>
      <c r="B141" s="7" t="s">
        <v>11</v>
      </c>
      <c r="C141" s="7">
        <v>31</v>
      </c>
      <c r="D141" s="7">
        <v>4635</v>
      </c>
      <c r="E141" s="7">
        <v>4266</v>
      </c>
    </row>
    <row r="142" spans="1:5" ht="14.25" customHeight="1" x14ac:dyDescent="0.3">
      <c r="A142" s="12">
        <v>43959</v>
      </c>
      <c r="B142" s="7" t="s">
        <v>17</v>
      </c>
      <c r="C142" s="7">
        <v>21</v>
      </c>
      <c r="D142" s="7">
        <v>1957</v>
      </c>
      <c r="E142" s="7">
        <v>1755</v>
      </c>
    </row>
    <row r="143" spans="1:5" ht="14.25" customHeight="1" x14ac:dyDescent="0.3">
      <c r="A143" s="12">
        <v>43959</v>
      </c>
      <c r="B143" s="7" t="s">
        <v>10</v>
      </c>
      <c r="C143" s="7">
        <v>21</v>
      </c>
      <c r="D143" s="7">
        <v>1646</v>
      </c>
      <c r="E143" s="7">
        <v>1492</v>
      </c>
    </row>
    <row r="144" spans="1:5" ht="14.25" customHeight="1" x14ac:dyDescent="0.3">
      <c r="A144" s="12">
        <v>43959</v>
      </c>
      <c r="B144" s="7" t="s">
        <v>20</v>
      </c>
      <c r="C144" s="7">
        <v>19</v>
      </c>
      <c r="D144" s="7">
        <v>1520</v>
      </c>
      <c r="E144" s="7">
        <v>1380</v>
      </c>
    </row>
    <row r="145" spans="1:5" ht="14.25" customHeight="1" x14ac:dyDescent="0.3">
      <c r="A145" s="12">
        <v>43959</v>
      </c>
      <c r="B145" s="7" t="s">
        <v>22</v>
      </c>
      <c r="C145" s="7">
        <v>54</v>
      </c>
      <c r="D145" s="7">
        <v>13563</v>
      </c>
      <c r="E145" s="7">
        <v>12604</v>
      </c>
    </row>
    <row r="146" spans="1:5" ht="14.25" customHeight="1" x14ac:dyDescent="0.3">
      <c r="A146" s="12">
        <v>43959</v>
      </c>
      <c r="B146" s="7" t="s">
        <v>21</v>
      </c>
      <c r="C146" s="7">
        <v>59</v>
      </c>
      <c r="D146" s="7">
        <v>14098</v>
      </c>
      <c r="E146" s="7">
        <v>13106</v>
      </c>
    </row>
    <row r="147" spans="1:5" ht="14.25" customHeight="1" x14ac:dyDescent="0.3">
      <c r="A147" s="12">
        <v>43959</v>
      </c>
      <c r="B147" s="7" t="s">
        <v>13</v>
      </c>
      <c r="C147" s="7">
        <v>19</v>
      </c>
      <c r="D147" s="7">
        <v>1522</v>
      </c>
      <c r="E147" s="7">
        <v>1340</v>
      </c>
    </row>
    <row r="148" spans="1:5" ht="14.25" customHeight="1" x14ac:dyDescent="0.3">
      <c r="A148" s="12">
        <v>43959</v>
      </c>
      <c r="B148" s="7" t="s">
        <v>23</v>
      </c>
      <c r="C148" s="7">
        <v>15</v>
      </c>
      <c r="D148" s="7">
        <v>703</v>
      </c>
      <c r="E148" s="7">
        <v>609</v>
      </c>
    </row>
    <row r="149" spans="1:5" ht="14.25" customHeight="1" x14ac:dyDescent="0.3">
      <c r="A149" s="12">
        <v>43959</v>
      </c>
      <c r="B149" s="7" t="s">
        <v>18</v>
      </c>
      <c r="C149" s="7">
        <v>15</v>
      </c>
      <c r="D149" s="7">
        <v>879</v>
      </c>
      <c r="E149" s="7">
        <v>768</v>
      </c>
    </row>
    <row r="150" spans="1:5" ht="14.25" customHeight="1" x14ac:dyDescent="0.3">
      <c r="A150" s="12">
        <v>43959</v>
      </c>
      <c r="B150" s="7" t="s">
        <v>19</v>
      </c>
      <c r="C150" s="7">
        <v>15</v>
      </c>
      <c r="D150" s="7">
        <v>492</v>
      </c>
      <c r="E150" s="7">
        <v>412</v>
      </c>
    </row>
    <row r="151" spans="1:5" ht="14.25" customHeight="1" x14ac:dyDescent="0.3">
      <c r="A151" s="12">
        <v>43959</v>
      </c>
      <c r="B151" s="7" t="s">
        <v>15</v>
      </c>
      <c r="C151" s="7">
        <v>125</v>
      </c>
      <c r="D151" s="7">
        <v>24620</v>
      </c>
      <c r="E151" s="7">
        <v>22641</v>
      </c>
    </row>
    <row r="152" spans="1:5" ht="14.25" customHeight="1" x14ac:dyDescent="0.3">
      <c r="A152" s="12">
        <v>43959</v>
      </c>
      <c r="B152" s="7" t="s">
        <v>14</v>
      </c>
      <c r="C152" s="7">
        <v>129</v>
      </c>
      <c r="D152" s="7">
        <v>20452</v>
      </c>
      <c r="E152" s="7">
        <v>18857</v>
      </c>
    </row>
    <row r="153" spans="1:5" ht="14.25" customHeight="1" x14ac:dyDescent="0.3">
      <c r="A153" s="12">
        <v>43959</v>
      </c>
      <c r="B153" s="7" t="s">
        <v>12</v>
      </c>
      <c r="C153" s="7">
        <v>10</v>
      </c>
      <c r="D153" s="7">
        <v>638</v>
      </c>
      <c r="E153" s="7">
        <v>547</v>
      </c>
    </row>
    <row r="154" spans="1:5" ht="14.25" customHeight="1" x14ac:dyDescent="0.3">
      <c r="A154" s="12">
        <v>43960</v>
      </c>
      <c r="B154" s="7" t="s">
        <v>16</v>
      </c>
      <c r="C154" s="7">
        <v>36</v>
      </c>
      <c r="D154" s="7">
        <v>5413</v>
      </c>
      <c r="E154" s="7">
        <v>4959</v>
      </c>
    </row>
    <row r="155" spans="1:5" ht="14.25" customHeight="1" x14ac:dyDescent="0.3">
      <c r="A155" s="12">
        <v>43960</v>
      </c>
      <c r="B155" s="7" t="s">
        <v>11</v>
      </c>
      <c r="C155" s="7">
        <v>31</v>
      </c>
      <c r="D155" s="7">
        <v>4556</v>
      </c>
      <c r="E155" s="7">
        <v>4220</v>
      </c>
    </row>
    <row r="156" spans="1:5" ht="14.25" customHeight="1" x14ac:dyDescent="0.3">
      <c r="A156" s="12">
        <v>43960</v>
      </c>
      <c r="B156" s="7" t="s">
        <v>17</v>
      </c>
      <c r="C156" s="7">
        <v>21</v>
      </c>
      <c r="D156" s="7">
        <v>1891</v>
      </c>
      <c r="E156" s="7">
        <v>1709</v>
      </c>
    </row>
    <row r="157" spans="1:5" ht="14.25" customHeight="1" x14ac:dyDescent="0.3">
      <c r="A157" s="12">
        <v>43960</v>
      </c>
      <c r="B157" s="7" t="s">
        <v>10</v>
      </c>
      <c r="C157" s="7">
        <v>21</v>
      </c>
      <c r="D157" s="7">
        <v>1735</v>
      </c>
      <c r="E157" s="7">
        <v>1568</v>
      </c>
    </row>
    <row r="158" spans="1:5" ht="14.25" customHeight="1" x14ac:dyDescent="0.3">
      <c r="A158" s="12">
        <v>43960</v>
      </c>
      <c r="B158" s="7" t="s">
        <v>20</v>
      </c>
      <c r="C158" s="7">
        <v>19</v>
      </c>
      <c r="D158" s="7">
        <v>1542</v>
      </c>
      <c r="E158" s="7">
        <v>1412</v>
      </c>
    </row>
    <row r="159" spans="1:5" ht="14.25" customHeight="1" x14ac:dyDescent="0.3">
      <c r="A159" s="12">
        <v>43960</v>
      </c>
      <c r="B159" s="7" t="s">
        <v>22</v>
      </c>
      <c r="C159" s="7">
        <v>54</v>
      </c>
      <c r="D159" s="7">
        <v>11288</v>
      </c>
      <c r="E159" s="7">
        <v>10492</v>
      </c>
    </row>
    <row r="160" spans="1:5" ht="14.25" customHeight="1" x14ac:dyDescent="0.3">
      <c r="A160" s="12">
        <v>43960</v>
      </c>
      <c r="B160" s="7" t="s">
        <v>21</v>
      </c>
      <c r="C160" s="7">
        <v>59</v>
      </c>
      <c r="D160" s="7">
        <v>12016</v>
      </c>
      <c r="E160" s="7">
        <v>11137</v>
      </c>
    </row>
    <row r="161" spans="1:5" ht="14.25" customHeight="1" x14ac:dyDescent="0.3">
      <c r="A161" s="12">
        <v>43960</v>
      </c>
      <c r="B161" s="7" t="s">
        <v>13</v>
      </c>
      <c r="C161" s="7">
        <v>19</v>
      </c>
      <c r="D161" s="7">
        <v>1851</v>
      </c>
      <c r="E161" s="7">
        <v>1635</v>
      </c>
    </row>
    <row r="162" spans="1:5" ht="14.25" customHeight="1" x14ac:dyDescent="0.3">
      <c r="A162" s="12">
        <v>43960</v>
      </c>
      <c r="B162" s="7" t="s">
        <v>23</v>
      </c>
      <c r="C162" s="7">
        <v>15</v>
      </c>
      <c r="D162" s="7">
        <v>654</v>
      </c>
      <c r="E162" s="7">
        <v>570</v>
      </c>
    </row>
    <row r="163" spans="1:5" ht="14.25" customHeight="1" x14ac:dyDescent="0.3">
      <c r="A163" s="12">
        <v>43960</v>
      </c>
      <c r="B163" s="7" t="s">
        <v>18</v>
      </c>
      <c r="C163" s="7">
        <v>15</v>
      </c>
      <c r="D163" s="7">
        <v>849</v>
      </c>
      <c r="E163" s="7">
        <v>740</v>
      </c>
    </row>
    <row r="164" spans="1:5" ht="14.25" customHeight="1" x14ac:dyDescent="0.3">
      <c r="A164" s="12">
        <v>43960</v>
      </c>
      <c r="B164" s="7" t="s">
        <v>19</v>
      </c>
      <c r="C164" s="7">
        <v>15</v>
      </c>
      <c r="D164" s="7">
        <v>623</v>
      </c>
      <c r="E164" s="7">
        <v>535</v>
      </c>
    </row>
    <row r="165" spans="1:5" ht="14.25" customHeight="1" x14ac:dyDescent="0.3">
      <c r="A165" s="12">
        <v>43960</v>
      </c>
      <c r="B165" s="7" t="s">
        <v>15</v>
      </c>
      <c r="C165" s="7">
        <v>125</v>
      </c>
      <c r="D165" s="7">
        <v>20132</v>
      </c>
      <c r="E165" s="7">
        <v>18617</v>
      </c>
    </row>
    <row r="166" spans="1:5" ht="14.25" customHeight="1" x14ac:dyDescent="0.3">
      <c r="A166" s="12">
        <v>43960</v>
      </c>
      <c r="B166" s="7" t="s">
        <v>14</v>
      </c>
      <c r="C166" s="7">
        <v>129</v>
      </c>
      <c r="D166" s="7">
        <v>16420</v>
      </c>
      <c r="E166" s="7">
        <v>15169</v>
      </c>
    </row>
    <row r="167" spans="1:5" ht="14.25" customHeight="1" x14ac:dyDescent="0.3">
      <c r="A167" s="12">
        <v>43960</v>
      </c>
      <c r="B167" s="7" t="s">
        <v>12</v>
      </c>
      <c r="C167" s="7">
        <v>10</v>
      </c>
      <c r="D167" s="7">
        <v>644</v>
      </c>
      <c r="E167" s="7">
        <v>559</v>
      </c>
    </row>
    <row r="168" spans="1:5" ht="14.25" customHeight="1" x14ac:dyDescent="0.3">
      <c r="A168" s="12">
        <v>43961</v>
      </c>
      <c r="B168" s="7" t="s">
        <v>16</v>
      </c>
      <c r="C168" s="7">
        <v>36</v>
      </c>
      <c r="D168" s="7">
        <v>5746</v>
      </c>
      <c r="E168" s="7">
        <v>5277</v>
      </c>
    </row>
    <row r="169" spans="1:5" ht="14.25" customHeight="1" x14ac:dyDescent="0.3">
      <c r="A169" s="12">
        <v>43961</v>
      </c>
      <c r="B169" s="7" t="s">
        <v>11</v>
      </c>
      <c r="C169" s="7">
        <v>31</v>
      </c>
      <c r="D169" s="7">
        <v>5495</v>
      </c>
      <c r="E169" s="7">
        <v>5093</v>
      </c>
    </row>
    <row r="170" spans="1:5" ht="14.25" customHeight="1" x14ac:dyDescent="0.3">
      <c r="A170" s="12">
        <v>43961</v>
      </c>
      <c r="B170" s="7" t="s">
        <v>17</v>
      </c>
      <c r="C170" s="7">
        <v>21</v>
      </c>
      <c r="D170" s="7">
        <v>2120</v>
      </c>
      <c r="E170" s="7">
        <v>1921</v>
      </c>
    </row>
    <row r="171" spans="1:5" ht="14.25" customHeight="1" x14ac:dyDescent="0.3">
      <c r="A171" s="12">
        <v>43961</v>
      </c>
      <c r="B171" s="7" t="s">
        <v>10</v>
      </c>
      <c r="C171" s="7">
        <v>21</v>
      </c>
      <c r="D171" s="7">
        <v>2016</v>
      </c>
      <c r="E171" s="7">
        <v>1846</v>
      </c>
    </row>
    <row r="172" spans="1:5" ht="14.25" customHeight="1" x14ac:dyDescent="0.3">
      <c r="A172" s="12">
        <v>43961</v>
      </c>
      <c r="B172" s="7" t="s">
        <v>20</v>
      </c>
      <c r="C172" s="7">
        <v>19</v>
      </c>
      <c r="D172" s="7">
        <v>1836</v>
      </c>
      <c r="E172" s="7">
        <v>1680</v>
      </c>
    </row>
    <row r="173" spans="1:5" ht="14.25" customHeight="1" x14ac:dyDescent="0.3">
      <c r="A173" s="12">
        <v>43961</v>
      </c>
      <c r="B173" s="7" t="s">
        <v>22</v>
      </c>
      <c r="C173" s="7">
        <v>54</v>
      </c>
      <c r="D173" s="7">
        <v>13832</v>
      </c>
      <c r="E173" s="7">
        <v>12864</v>
      </c>
    </row>
    <row r="174" spans="1:5" ht="14.25" customHeight="1" x14ac:dyDescent="0.3">
      <c r="A174" s="12">
        <v>43961</v>
      </c>
      <c r="B174" s="7" t="s">
        <v>21</v>
      </c>
      <c r="C174" s="7">
        <v>59</v>
      </c>
      <c r="D174" s="7">
        <v>14569</v>
      </c>
      <c r="E174" s="7">
        <v>13566</v>
      </c>
    </row>
    <row r="175" spans="1:5" ht="14.25" customHeight="1" x14ac:dyDescent="0.3">
      <c r="A175" s="12">
        <v>43961</v>
      </c>
      <c r="B175" s="7" t="s">
        <v>13</v>
      </c>
      <c r="C175" s="7">
        <v>19</v>
      </c>
      <c r="D175" s="7">
        <v>1848</v>
      </c>
      <c r="E175" s="7">
        <v>1649</v>
      </c>
    </row>
    <row r="176" spans="1:5" ht="14.25" customHeight="1" x14ac:dyDescent="0.3">
      <c r="A176" s="12">
        <v>43961</v>
      </c>
      <c r="B176" s="7" t="s">
        <v>23</v>
      </c>
      <c r="C176" s="7">
        <v>15</v>
      </c>
      <c r="D176" s="7">
        <v>792</v>
      </c>
      <c r="E176" s="7">
        <v>695</v>
      </c>
    </row>
    <row r="177" spans="1:5" ht="14.25" customHeight="1" x14ac:dyDescent="0.3">
      <c r="A177" s="12">
        <v>43961</v>
      </c>
      <c r="B177" s="7" t="s">
        <v>18</v>
      </c>
      <c r="C177" s="7">
        <v>15</v>
      </c>
      <c r="D177" s="7">
        <v>950</v>
      </c>
      <c r="E177" s="7">
        <v>848</v>
      </c>
    </row>
    <row r="178" spans="1:5" ht="14.25" customHeight="1" x14ac:dyDescent="0.3">
      <c r="A178" s="12">
        <v>43961</v>
      </c>
      <c r="B178" s="7" t="s">
        <v>19</v>
      </c>
      <c r="C178" s="7">
        <v>15</v>
      </c>
      <c r="D178" s="7">
        <v>706</v>
      </c>
      <c r="E178" s="7">
        <v>608</v>
      </c>
    </row>
    <row r="179" spans="1:5" ht="14.25" customHeight="1" x14ac:dyDescent="0.3">
      <c r="A179" s="12">
        <v>43961</v>
      </c>
      <c r="B179" s="7" t="s">
        <v>15</v>
      </c>
      <c r="C179" s="7">
        <v>125</v>
      </c>
      <c r="D179" s="7">
        <v>20368</v>
      </c>
      <c r="E179" s="7">
        <v>18884</v>
      </c>
    </row>
    <row r="180" spans="1:5" ht="14.25" customHeight="1" x14ac:dyDescent="0.3">
      <c r="A180" s="12">
        <v>43961</v>
      </c>
      <c r="B180" s="7" t="s">
        <v>14</v>
      </c>
      <c r="C180" s="7">
        <v>129</v>
      </c>
      <c r="D180" s="7">
        <v>16437</v>
      </c>
      <c r="E180" s="7">
        <v>15285</v>
      </c>
    </row>
    <row r="181" spans="1:5" ht="14.25" customHeight="1" x14ac:dyDescent="0.3">
      <c r="A181" s="12">
        <v>43961</v>
      </c>
      <c r="B181" s="7" t="s">
        <v>12</v>
      </c>
      <c r="C181" s="7">
        <v>10</v>
      </c>
      <c r="D181" s="7">
        <v>642</v>
      </c>
      <c r="E181" s="7">
        <v>556</v>
      </c>
    </row>
    <row r="182" spans="1:5" ht="14.25" customHeight="1" x14ac:dyDescent="0.3">
      <c r="A182" s="12">
        <v>43962</v>
      </c>
      <c r="B182" s="7" t="s">
        <v>16</v>
      </c>
      <c r="C182" s="7">
        <v>36</v>
      </c>
      <c r="D182" s="7">
        <v>4150</v>
      </c>
      <c r="E182" s="7">
        <v>3838</v>
      </c>
    </row>
    <row r="183" spans="1:5" ht="14.25" customHeight="1" x14ac:dyDescent="0.3">
      <c r="A183" s="12">
        <v>43962</v>
      </c>
      <c r="B183" s="7" t="s">
        <v>11</v>
      </c>
      <c r="C183" s="7">
        <v>31</v>
      </c>
      <c r="D183" s="7">
        <v>4826</v>
      </c>
      <c r="E183" s="7">
        <v>4483</v>
      </c>
    </row>
    <row r="184" spans="1:5" ht="14.25" customHeight="1" x14ac:dyDescent="0.3">
      <c r="A184" s="12">
        <v>43962</v>
      </c>
      <c r="B184" s="7" t="s">
        <v>17</v>
      </c>
      <c r="C184" s="7">
        <v>21</v>
      </c>
      <c r="D184" s="7">
        <v>1916</v>
      </c>
      <c r="E184" s="7">
        <v>1733</v>
      </c>
    </row>
    <row r="185" spans="1:5" ht="14.25" customHeight="1" x14ac:dyDescent="0.3">
      <c r="A185" s="12">
        <v>43962</v>
      </c>
      <c r="B185" s="7" t="s">
        <v>10</v>
      </c>
      <c r="C185" s="7">
        <v>21</v>
      </c>
      <c r="D185" s="7">
        <v>1597</v>
      </c>
      <c r="E185" s="7">
        <v>1457</v>
      </c>
    </row>
    <row r="186" spans="1:5" ht="14.25" customHeight="1" x14ac:dyDescent="0.3">
      <c r="A186" s="12">
        <v>43962</v>
      </c>
      <c r="B186" s="7" t="s">
        <v>20</v>
      </c>
      <c r="C186" s="7">
        <v>19</v>
      </c>
      <c r="D186" s="7">
        <v>1527</v>
      </c>
      <c r="E186" s="7">
        <v>1389</v>
      </c>
    </row>
    <row r="187" spans="1:5" ht="14.25" customHeight="1" x14ac:dyDescent="0.3">
      <c r="A187" s="12">
        <v>43962</v>
      </c>
      <c r="B187" s="7" t="s">
        <v>22</v>
      </c>
      <c r="C187" s="7">
        <v>54</v>
      </c>
      <c r="D187" s="7">
        <v>10570</v>
      </c>
      <c r="E187" s="7">
        <v>9926</v>
      </c>
    </row>
    <row r="188" spans="1:5" ht="14.25" customHeight="1" x14ac:dyDescent="0.3">
      <c r="A188" s="12">
        <v>43962</v>
      </c>
      <c r="B188" s="7" t="s">
        <v>21</v>
      </c>
      <c r="C188" s="7">
        <v>60</v>
      </c>
      <c r="D188" s="7">
        <v>11100</v>
      </c>
      <c r="E188" s="7">
        <v>10407</v>
      </c>
    </row>
    <row r="189" spans="1:5" ht="14.25" customHeight="1" x14ac:dyDescent="0.3">
      <c r="A189" s="12">
        <v>43962</v>
      </c>
      <c r="B189" s="7" t="s">
        <v>13</v>
      </c>
      <c r="C189" s="7">
        <v>19</v>
      </c>
      <c r="D189" s="7">
        <v>2530</v>
      </c>
      <c r="E189" s="7">
        <v>2270</v>
      </c>
    </row>
    <row r="190" spans="1:5" ht="14.25" customHeight="1" x14ac:dyDescent="0.3">
      <c r="A190" s="12">
        <v>43962</v>
      </c>
      <c r="B190" s="7" t="s">
        <v>23</v>
      </c>
      <c r="C190" s="7">
        <v>15</v>
      </c>
      <c r="D190" s="7">
        <v>654</v>
      </c>
      <c r="E190" s="7">
        <v>564</v>
      </c>
    </row>
    <row r="191" spans="1:5" ht="14.25" customHeight="1" x14ac:dyDescent="0.3">
      <c r="A191" s="12">
        <v>43962</v>
      </c>
      <c r="B191" s="7" t="s">
        <v>18</v>
      </c>
      <c r="C191" s="7">
        <v>15</v>
      </c>
      <c r="D191" s="7">
        <v>812</v>
      </c>
      <c r="E191" s="7">
        <v>714</v>
      </c>
    </row>
    <row r="192" spans="1:5" ht="14.25" customHeight="1" x14ac:dyDescent="0.3">
      <c r="A192" s="12">
        <v>43962</v>
      </c>
      <c r="B192" s="7" t="s">
        <v>19</v>
      </c>
      <c r="C192" s="7">
        <v>15</v>
      </c>
      <c r="D192" s="7">
        <v>684</v>
      </c>
      <c r="E192" s="7">
        <v>585</v>
      </c>
    </row>
    <row r="193" spans="1:5" ht="14.25" customHeight="1" x14ac:dyDescent="0.3">
      <c r="A193" s="12">
        <v>43962</v>
      </c>
      <c r="B193" s="7" t="s">
        <v>15</v>
      </c>
      <c r="C193" s="7">
        <v>125</v>
      </c>
      <c r="D193" s="7">
        <v>18066</v>
      </c>
      <c r="E193" s="7">
        <v>16883</v>
      </c>
    </row>
    <row r="194" spans="1:5" ht="14.25" customHeight="1" x14ac:dyDescent="0.3">
      <c r="A194" s="12">
        <v>43962</v>
      </c>
      <c r="B194" s="7" t="s">
        <v>14</v>
      </c>
      <c r="C194" s="7">
        <v>129</v>
      </c>
      <c r="D194" s="7">
        <v>14043</v>
      </c>
      <c r="E194" s="7">
        <v>13167</v>
      </c>
    </row>
    <row r="195" spans="1:5" ht="14.25" customHeight="1" x14ac:dyDescent="0.3">
      <c r="A195" s="12">
        <v>43962</v>
      </c>
      <c r="B195" s="7" t="s">
        <v>12</v>
      </c>
      <c r="C195" s="7">
        <v>10</v>
      </c>
      <c r="D195" s="7">
        <v>494</v>
      </c>
      <c r="E195" s="7">
        <v>421</v>
      </c>
    </row>
    <row r="196" spans="1:5" ht="14.25" customHeight="1" x14ac:dyDescent="0.3">
      <c r="A196" s="12">
        <v>43963</v>
      </c>
      <c r="B196" s="7" t="s">
        <v>16</v>
      </c>
      <c r="C196" s="7">
        <v>36</v>
      </c>
      <c r="D196" s="7">
        <v>4418</v>
      </c>
      <c r="E196" s="7">
        <v>4088</v>
      </c>
    </row>
    <row r="197" spans="1:5" ht="14.25" customHeight="1" x14ac:dyDescent="0.3">
      <c r="A197" s="12">
        <v>43963</v>
      </c>
      <c r="B197" s="7" t="s">
        <v>11</v>
      </c>
      <c r="C197" s="7">
        <v>31</v>
      </c>
      <c r="D197" s="7">
        <v>4800</v>
      </c>
      <c r="E197" s="7">
        <v>4470</v>
      </c>
    </row>
    <row r="198" spans="1:5" ht="14.25" customHeight="1" x14ac:dyDescent="0.3">
      <c r="A198" s="12">
        <v>43963</v>
      </c>
      <c r="B198" s="7" t="s">
        <v>17</v>
      </c>
      <c r="C198" s="7">
        <v>21</v>
      </c>
      <c r="D198" s="7">
        <v>1926</v>
      </c>
      <c r="E198" s="7">
        <v>1745</v>
      </c>
    </row>
    <row r="199" spans="1:5" ht="14.25" customHeight="1" x14ac:dyDescent="0.3">
      <c r="A199" s="12">
        <v>43963</v>
      </c>
      <c r="B199" s="7" t="s">
        <v>10</v>
      </c>
      <c r="C199" s="7">
        <v>21</v>
      </c>
      <c r="D199" s="7">
        <v>1656</v>
      </c>
      <c r="E199" s="7">
        <v>1516</v>
      </c>
    </row>
    <row r="200" spans="1:5" ht="14.25" customHeight="1" x14ac:dyDescent="0.3">
      <c r="A200" s="12">
        <v>43963</v>
      </c>
      <c r="B200" s="7" t="s">
        <v>20</v>
      </c>
      <c r="C200" s="7">
        <v>19</v>
      </c>
      <c r="D200" s="7">
        <v>1598</v>
      </c>
      <c r="E200" s="7">
        <v>1454</v>
      </c>
    </row>
    <row r="201" spans="1:5" ht="14.25" customHeight="1" x14ac:dyDescent="0.3">
      <c r="A201" s="12">
        <v>43963</v>
      </c>
      <c r="B201" s="7" t="s">
        <v>22</v>
      </c>
      <c r="C201" s="7">
        <v>54</v>
      </c>
      <c r="D201" s="7">
        <v>11614</v>
      </c>
      <c r="E201" s="7">
        <v>10862</v>
      </c>
    </row>
    <row r="202" spans="1:5" ht="14.25" customHeight="1" x14ac:dyDescent="0.3">
      <c r="A202" s="12">
        <v>43963</v>
      </c>
      <c r="B202" s="7" t="s">
        <v>21</v>
      </c>
      <c r="C202" s="7">
        <v>60</v>
      </c>
      <c r="D202" s="7">
        <v>12000</v>
      </c>
      <c r="E202" s="7">
        <v>11194</v>
      </c>
    </row>
    <row r="203" spans="1:5" ht="14.25" customHeight="1" x14ac:dyDescent="0.3">
      <c r="A203" s="12">
        <v>43963</v>
      </c>
      <c r="B203" s="7" t="s">
        <v>13</v>
      </c>
      <c r="C203" s="7">
        <v>19</v>
      </c>
      <c r="D203" s="7">
        <v>1649</v>
      </c>
      <c r="E203" s="7">
        <v>1460</v>
      </c>
    </row>
    <row r="204" spans="1:5" ht="14.25" customHeight="1" x14ac:dyDescent="0.3">
      <c r="A204" s="12">
        <v>43963</v>
      </c>
      <c r="B204" s="7" t="s">
        <v>23</v>
      </c>
      <c r="C204" s="7">
        <v>15</v>
      </c>
      <c r="D204" s="7">
        <v>750</v>
      </c>
      <c r="E204" s="7">
        <v>659</v>
      </c>
    </row>
    <row r="205" spans="1:5" ht="14.25" customHeight="1" x14ac:dyDescent="0.3">
      <c r="A205" s="12">
        <v>43963</v>
      </c>
      <c r="B205" s="7" t="s">
        <v>18</v>
      </c>
      <c r="C205" s="7">
        <v>15</v>
      </c>
      <c r="D205" s="7">
        <v>845</v>
      </c>
      <c r="E205" s="7">
        <v>743</v>
      </c>
    </row>
    <row r="206" spans="1:5" ht="14.25" customHeight="1" x14ac:dyDescent="0.3">
      <c r="A206" s="12">
        <v>43963</v>
      </c>
      <c r="B206" s="7" t="s">
        <v>19</v>
      </c>
      <c r="C206" s="7">
        <v>15</v>
      </c>
      <c r="D206" s="7">
        <v>624</v>
      </c>
      <c r="E206" s="7">
        <v>538</v>
      </c>
    </row>
    <row r="207" spans="1:5" ht="14.25" customHeight="1" x14ac:dyDescent="0.3">
      <c r="A207" s="12">
        <v>43963</v>
      </c>
      <c r="B207" s="7" t="s">
        <v>15</v>
      </c>
      <c r="C207" s="7">
        <v>125</v>
      </c>
      <c r="D207" s="7">
        <v>21106</v>
      </c>
      <c r="E207" s="7">
        <v>19651</v>
      </c>
    </row>
    <row r="208" spans="1:5" ht="14.25" customHeight="1" x14ac:dyDescent="0.3">
      <c r="A208" s="12">
        <v>43963</v>
      </c>
      <c r="B208" s="7" t="s">
        <v>14</v>
      </c>
      <c r="C208" s="7">
        <v>129</v>
      </c>
      <c r="D208" s="7">
        <v>16387</v>
      </c>
      <c r="E208" s="7">
        <v>15322</v>
      </c>
    </row>
    <row r="209" spans="1:5" ht="14.25" customHeight="1" x14ac:dyDescent="0.3">
      <c r="A209" s="12">
        <v>43963</v>
      </c>
      <c r="B209" s="7" t="s">
        <v>12</v>
      </c>
      <c r="C209" s="7">
        <v>10</v>
      </c>
      <c r="D209" s="7">
        <v>526</v>
      </c>
      <c r="E209" s="7">
        <v>448</v>
      </c>
    </row>
    <row r="210" spans="1:5" ht="14.25" customHeight="1" x14ac:dyDescent="0.3">
      <c r="A210" s="12">
        <v>43964</v>
      </c>
      <c r="B210" s="7" t="s">
        <v>16</v>
      </c>
      <c r="C210" s="7">
        <v>36</v>
      </c>
      <c r="D210" s="7">
        <v>4967</v>
      </c>
      <c r="E210" s="7">
        <v>4583</v>
      </c>
    </row>
    <row r="211" spans="1:5" ht="14.25" customHeight="1" x14ac:dyDescent="0.3">
      <c r="A211" s="12">
        <v>43964</v>
      </c>
      <c r="B211" s="7" t="s">
        <v>11</v>
      </c>
      <c r="C211" s="7">
        <v>31</v>
      </c>
      <c r="D211" s="7">
        <v>5251</v>
      </c>
      <c r="E211" s="7">
        <v>4853</v>
      </c>
    </row>
    <row r="212" spans="1:5" ht="14.25" customHeight="1" x14ac:dyDescent="0.3">
      <c r="A212" s="12">
        <v>43964</v>
      </c>
      <c r="B212" s="7" t="s">
        <v>17</v>
      </c>
      <c r="C212" s="7">
        <v>21</v>
      </c>
      <c r="D212" s="7">
        <v>2061</v>
      </c>
      <c r="E212" s="7">
        <v>1876</v>
      </c>
    </row>
    <row r="213" spans="1:5" ht="14.25" customHeight="1" x14ac:dyDescent="0.3">
      <c r="A213" s="12">
        <v>43964</v>
      </c>
      <c r="B213" s="7" t="s">
        <v>10</v>
      </c>
      <c r="C213" s="7">
        <v>21</v>
      </c>
      <c r="D213" s="7">
        <v>1698</v>
      </c>
      <c r="E213" s="7">
        <v>1554</v>
      </c>
    </row>
    <row r="214" spans="1:5" ht="14.25" customHeight="1" x14ac:dyDescent="0.3">
      <c r="A214" s="12">
        <v>43964</v>
      </c>
      <c r="B214" s="7" t="s">
        <v>20</v>
      </c>
      <c r="C214" s="7">
        <v>19</v>
      </c>
      <c r="D214" s="7">
        <v>1605</v>
      </c>
      <c r="E214" s="7">
        <v>1447</v>
      </c>
    </row>
    <row r="215" spans="1:5" ht="14.25" customHeight="1" x14ac:dyDescent="0.3">
      <c r="A215" s="12">
        <v>43964</v>
      </c>
      <c r="B215" s="7" t="s">
        <v>22</v>
      </c>
      <c r="C215" s="7">
        <v>54</v>
      </c>
      <c r="D215" s="7">
        <v>11522</v>
      </c>
      <c r="E215" s="7">
        <v>10803</v>
      </c>
    </row>
    <row r="216" spans="1:5" ht="14.25" customHeight="1" x14ac:dyDescent="0.3">
      <c r="A216" s="12">
        <v>43964</v>
      </c>
      <c r="B216" s="7" t="s">
        <v>21</v>
      </c>
      <c r="C216" s="7">
        <v>60</v>
      </c>
      <c r="D216" s="7">
        <v>12007</v>
      </c>
      <c r="E216" s="7">
        <v>11245</v>
      </c>
    </row>
    <row r="217" spans="1:5" ht="14.25" customHeight="1" x14ac:dyDescent="0.3">
      <c r="A217" s="12">
        <v>43964</v>
      </c>
      <c r="B217" s="7" t="s">
        <v>13</v>
      </c>
      <c r="C217" s="7">
        <v>19</v>
      </c>
      <c r="D217" s="7">
        <v>1625</v>
      </c>
      <c r="E217" s="7">
        <v>1444</v>
      </c>
    </row>
    <row r="218" spans="1:5" ht="14.25" customHeight="1" x14ac:dyDescent="0.3">
      <c r="A218" s="12">
        <v>43964</v>
      </c>
      <c r="B218" s="7" t="s">
        <v>23</v>
      </c>
      <c r="C218" s="7">
        <v>15</v>
      </c>
      <c r="D218" s="7">
        <v>854</v>
      </c>
      <c r="E218" s="7">
        <v>756</v>
      </c>
    </row>
    <row r="219" spans="1:5" ht="14.25" customHeight="1" x14ac:dyDescent="0.3">
      <c r="A219" s="12">
        <v>43964</v>
      </c>
      <c r="B219" s="7" t="s">
        <v>18</v>
      </c>
      <c r="C219" s="7">
        <v>15</v>
      </c>
      <c r="D219" s="7">
        <v>898</v>
      </c>
      <c r="E219" s="7">
        <v>795</v>
      </c>
    </row>
    <row r="220" spans="1:5" ht="14.25" customHeight="1" x14ac:dyDescent="0.3">
      <c r="A220" s="12">
        <v>43964</v>
      </c>
      <c r="B220" s="7" t="s">
        <v>19</v>
      </c>
      <c r="C220" s="7">
        <v>15</v>
      </c>
      <c r="D220" s="7">
        <v>599</v>
      </c>
      <c r="E220" s="7">
        <v>515</v>
      </c>
    </row>
    <row r="221" spans="1:5" ht="14.25" customHeight="1" x14ac:dyDescent="0.3">
      <c r="A221" s="12">
        <v>43964</v>
      </c>
      <c r="B221" s="7" t="s">
        <v>15</v>
      </c>
      <c r="C221" s="7">
        <v>125</v>
      </c>
      <c r="D221" s="7">
        <v>19965</v>
      </c>
      <c r="E221" s="7">
        <v>18573</v>
      </c>
    </row>
    <row r="222" spans="1:5" ht="14.25" customHeight="1" x14ac:dyDescent="0.3">
      <c r="A222" s="12">
        <v>43964</v>
      </c>
      <c r="B222" s="7" t="s">
        <v>14</v>
      </c>
      <c r="C222" s="7">
        <v>129</v>
      </c>
      <c r="D222" s="7">
        <v>15304</v>
      </c>
      <c r="E222" s="7">
        <v>14315</v>
      </c>
    </row>
    <row r="223" spans="1:5" ht="14.25" customHeight="1" x14ac:dyDescent="0.3">
      <c r="A223" s="12">
        <v>43964</v>
      </c>
      <c r="B223" s="7" t="s">
        <v>12</v>
      </c>
      <c r="C223" s="7">
        <v>10</v>
      </c>
      <c r="D223" s="7">
        <v>612</v>
      </c>
      <c r="E223" s="7">
        <v>530</v>
      </c>
    </row>
    <row r="224" spans="1:5" ht="14.25" customHeight="1" x14ac:dyDescent="0.3">
      <c r="A224" s="12">
        <v>43965</v>
      </c>
      <c r="B224" s="7" t="s">
        <v>16</v>
      </c>
      <c r="C224" s="7">
        <v>36</v>
      </c>
      <c r="D224" s="7">
        <v>4285</v>
      </c>
      <c r="E224" s="7">
        <v>3950</v>
      </c>
    </row>
    <row r="225" spans="1:5" ht="14.25" customHeight="1" x14ac:dyDescent="0.3">
      <c r="A225" s="12">
        <v>43965</v>
      </c>
      <c r="B225" s="7" t="s">
        <v>11</v>
      </c>
      <c r="C225" s="7">
        <v>31</v>
      </c>
      <c r="D225" s="7">
        <v>4695</v>
      </c>
      <c r="E225" s="7">
        <v>4372</v>
      </c>
    </row>
    <row r="226" spans="1:5" ht="14.25" customHeight="1" x14ac:dyDescent="0.3">
      <c r="A226" s="12">
        <v>43965</v>
      </c>
      <c r="B226" s="7" t="s">
        <v>17</v>
      </c>
      <c r="C226" s="7">
        <v>21</v>
      </c>
      <c r="D226" s="7">
        <v>1993</v>
      </c>
      <c r="E226" s="7">
        <v>1796</v>
      </c>
    </row>
    <row r="227" spans="1:5" ht="14.25" customHeight="1" x14ac:dyDescent="0.3">
      <c r="A227" s="12">
        <v>43965</v>
      </c>
      <c r="B227" s="7" t="s">
        <v>10</v>
      </c>
      <c r="C227" s="7">
        <v>21</v>
      </c>
      <c r="D227" s="7">
        <v>1706</v>
      </c>
      <c r="E227" s="7">
        <v>1548</v>
      </c>
    </row>
    <row r="228" spans="1:5" ht="14.25" customHeight="1" x14ac:dyDescent="0.3">
      <c r="A228" s="12">
        <v>43965</v>
      </c>
      <c r="B228" s="7" t="s">
        <v>20</v>
      </c>
      <c r="C228" s="7">
        <v>19</v>
      </c>
      <c r="D228" s="7">
        <v>1635</v>
      </c>
      <c r="E228" s="7">
        <v>1487</v>
      </c>
    </row>
    <row r="229" spans="1:5" ht="14.25" customHeight="1" x14ac:dyDescent="0.3">
      <c r="A229" s="12">
        <v>43965</v>
      </c>
      <c r="B229" s="7" t="s">
        <v>22</v>
      </c>
      <c r="C229" s="7">
        <v>54</v>
      </c>
      <c r="D229" s="7">
        <v>11194</v>
      </c>
      <c r="E229" s="7">
        <v>10554</v>
      </c>
    </row>
    <row r="230" spans="1:5" ht="14.25" customHeight="1" x14ac:dyDescent="0.3">
      <c r="A230" s="12">
        <v>43965</v>
      </c>
      <c r="B230" s="7" t="s">
        <v>21</v>
      </c>
      <c r="C230" s="7">
        <v>60</v>
      </c>
      <c r="D230" s="7">
        <v>11935</v>
      </c>
      <c r="E230" s="7">
        <v>11178</v>
      </c>
    </row>
    <row r="231" spans="1:5" ht="14.25" customHeight="1" x14ac:dyDescent="0.3">
      <c r="A231" s="12">
        <v>43965</v>
      </c>
      <c r="B231" s="7" t="s">
        <v>13</v>
      </c>
      <c r="C231" s="7">
        <v>19</v>
      </c>
      <c r="D231" s="7">
        <v>1675</v>
      </c>
      <c r="E231" s="7">
        <v>1475</v>
      </c>
    </row>
    <row r="232" spans="1:5" ht="14.25" customHeight="1" x14ac:dyDescent="0.3">
      <c r="A232" s="12">
        <v>43965</v>
      </c>
      <c r="B232" s="7" t="s">
        <v>23</v>
      </c>
      <c r="C232" s="7">
        <v>16</v>
      </c>
      <c r="D232" s="7">
        <v>834</v>
      </c>
      <c r="E232" s="7">
        <v>735</v>
      </c>
    </row>
    <row r="233" spans="1:5" ht="14.25" customHeight="1" x14ac:dyDescent="0.3">
      <c r="A233" s="12">
        <v>43965</v>
      </c>
      <c r="B233" s="7" t="s">
        <v>18</v>
      </c>
      <c r="C233" s="7">
        <v>15</v>
      </c>
      <c r="D233" s="7">
        <v>890</v>
      </c>
      <c r="E233" s="7">
        <v>777</v>
      </c>
    </row>
    <row r="234" spans="1:5" ht="14.25" customHeight="1" x14ac:dyDescent="0.3">
      <c r="A234" s="12">
        <v>43965</v>
      </c>
      <c r="B234" s="7" t="s">
        <v>19</v>
      </c>
      <c r="C234" s="7">
        <v>15</v>
      </c>
      <c r="D234" s="7">
        <v>638</v>
      </c>
      <c r="E234" s="7">
        <v>548</v>
      </c>
    </row>
    <row r="235" spans="1:5" ht="14.25" customHeight="1" x14ac:dyDescent="0.3">
      <c r="A235" s="12">
        <v>43965</v>
      </c>
      <c r="B235" s="7" t="s">
        <v>15</v>
      </c>
      <c r="C235" s="7">
        <v>125</v>
      </c>
      <c r="D235" s="7">
        <v>20247</v>
      </c>
      <c r="E235" s="7">
        <v>18812</v>
      </c>
    </row>
    <row r="236" spans="1:5" ht="14.25" customHeight="1" x14ac:dyDescent="0.3">
      <c r="A236" s="12">
        <v>43965</v>
      </c>
      <c r="B236" s="7" t="s">
        <v>14</v>
      </c>
      <c r="C236" s="7">
        <v>129</v>
      </c>
      <c r="D236" s="7">
        <v>15804</v>
      </c>
      <c r="E236" s="7">
        <v>14738</v>
      </c>
    </row>
    <row r="237" spans="1:5" ht="14.25" customHeight="1" x14ac:dyDescent="0.3">
      <c r="A237" s="12">
        <v>43965</v>
      </c>
      <c r="B237" s="7" t="s">
        <v>12</v>
      </c>
      <c r="C237" s="7">
        <v>10</v>
      </c>
      <c r="D237" s="7">
        <v>627</v>
      </c>
      <c r="E237" s="7">
        <v>545</v>
      </c>
    </row>
    <row r="238" spans="1:5" ht="14.25" customHeight="1" x14ac:dyDescent="0.3">
      <c r="A238" s="12">
        <v>43966</v>
      </c>
      <c r="B238" s="7" t="s">
        <v>16</v>
      </c>
      <c r="C238" s="7">
        <v>36</v>
      </c>
      <c r="D238" s="7">
        <v>4862</v>
      </c>
      <c r="E238" s="7">
        <v>4476</v>
      </c>
    </row>
    <row r="239" spans="1:5" ht="14.25" customHeight="1" x14ac:dyDescent="0.3">
      <c r="A239" s="12">
        <v>43966</v>
      </c>
      <c r="B239" s="7" t="s">
        <v>11</v>
      </c>
      <c r="C239" s="7">
        <v>31</v>
      </c>
      <c r="D239" s="7">
        <v>5184</v>
      </c>
      <c r="E239" s="7">
        <v>4778</v>
      </c>
    </row>
    <row r="240" spans="1:5" ht="14.25" customHeight="1" x14ac:dyDescent="0.3">
      <c r="A240" s="12">
        <v>43966</v>
      </c>
      <c r="B240" s="7" t="s">
        <v>17</v>
      </c>
      <c r="C240" s="7">
        <v>21</v>
      </c>
      <c r="D240" s="7">
        <v>2255</v>
      </c>
      <c r="E240" s="7">
        <v>2045</v>
      </c>
    </row>
    <row r="241" spans="1:5" ht="14.25" customHeight="1" x14ac:dyDescent="0.3">
      <c r="A241" s="12">
        <v>43966</v>
      </c>
      <c r="B241" s="7" t="s">
        <v>10</v>
      </c>
      <c r="C241" s="7">
        <v>21</v>
      </c>
      <c r="D241" s="7">
        <v>1926</v>
      </c>
      <c r="E241" s="7">
        <v>1742</v>
      </c>
    </row>
    <row r="242" spans="1:5" ht="14.25" customHeight="1" x14ac:dyDescent="0.3">
      <c r="A242" s="12">
        <v>43966</v>
      </c>
      <c r="B242" s="7" t="s">
        <v>20</v>
      </c>
      <c r="C242" s="7">
        <v>19</v>
      </c>
      <c r="D242" s="7">
        <v>1780</v>
      </c>
      <c r="E242" s="7">
        <v>1615</v>
      </c>
    </row>
    <row r="243" spans="1:5" ht="14.25" customHeight="1" x14ac:dyDescent="0.3">
      <c r="A243" s="12">
        <v>43966</v>
      </c>
      <c r="B243" s="7" t="s">
        <v>22</v>
      </c>
      <c r="C243" s="7">
        <v>54</v>
      </c>
      <c r="D243" s="7">
        <v>12791</v>
      </c>
      <c r="E243" s="7">
        <v>11950</v>
      </c>
    </row>
    <row r="244" spans="1:5" ht="14.25" customHeight="1" x14ac:dyDescent="0.3">
      <c r="A244" s="12">
        <v>43966</v>
      </c>
      <c r="B244" s="7" t="s">
        <v>21</v>
      </c>
      <c r="C244" s="7">
        <v>60</v>
      </c>
      <c r="D244" s="7">
        <v>13544</v>
      </c>
      <c r="E244" s="7">
        <v>12643</v>
      </c>
    </row>
    <row r="245" spans="1:5" ht="14.25" customHeight="1" x14ac:dyDescent="0.3">
      <c r="A245" s="12">
        <v>43966</v>
      </c>
      <c r="B245" s="7" t="s">
        <v>13</v>
      </c>
      <c r="C245" s="7">
        <v>19</v>
      </c>
      <c r="D245" s="7">
        <v>1940</v>
      </c>
      <c r="E245" s="7">
        <v>1715</v>
      </c>
    </row>
    <row r="246" spans="1:5" ht="14.25" customHeight="1" x14ac:dyDescent="0.3">
      <c r="A246" s="12">
        <v>43966</v>
      </c>
      <c r="B246" s="7" t="s">
        <v>23</v>
      </c>
      <c r="C246" s="7">
        <v>16</v>
      </c>
      <c r="D246" s="7">
        <v>817</v>
      </c>
      <c r="E246" s="7">
        <v>718</v>
      </c>
    </row>
    <row r="247" spans="1:5" ht="14.25" customHeight="1" x14ac:dyDescent="0.3">
      <c r="A247" s="12">
        <v>43966</v>
      </c>
      <c r="B247" s="7" t="s">
        <v>18</v>
      </c>
      <c r="C247" s="7">
        <v>15</v>
      </c>
      <c r="D247" s="7">
        <v>980</v>
      </c>
      <c r="E247" s="7">
        <v>867</v>
      </c>
    </row>
    <row r="248" spans="1:5" ht="14.25" customHeight="1" x14ac:dyDescent="0.3">
      <c r="A248" s="12">
        <v>43966</v>
      </c>
      <c r="B248" s="7" t="s">
        <v>19</v>
      </c>
      <c r="C248" s="7">
        <v>15</v>
      </c>
      <c r="D248" s="7">
        <v>688</v>
      </c>
      <c r="E248" s="7">
        <v>598</v>
      </c>
    </row>
    <row r="249" spans="1:5" ht="14.25" customHeight="1" x14ac:dyDescent="0.3">
      <c r="A249" s="12">
        <v>43966</v>
      </c>
      <c r="B249" s="7" t="s">
        <v>15</v>
      </c>
      <c r="C249" s="7">
        <v>125</v>
      </c>
      <c r="D249" s="7">
        <v>21862</v>
      </c>
      <c r="E249" s="7">
        <v>20235</v>
      </c>
    </row>
    <row r="250" spans="1:5" ht="14.25" customHeight="1" x14ac:dyDescent="0.3">
      <c r="A250" s="12">
        <v>43966</v>
      </c>
      <c r="B250" s="7" t="s">
        <v>14</v>
      </c>
      <c r="C250" s="7">
        <v>129</v>
      </c>
      <c r="D250" s="7">
        <v>17808</v>
      </c>
      <c r="E250" s="7">
        <v>16486</v>
      </c>
    </row>
    <row r="251" spans="1:5" ht="14.25" customHeight="1" x14ac:dyDescent="0.3">
      <c r="A251" s="12">
        <v>43966</v>
      </c>
      <c r="B251" s="7" t="s">
        <v>12</v>
      </c>
      <c r="C251" s="7">
        <v>10</v>
      </c>
      <c r="D251" s="7">
        <v>743</v>
      </c>
      <c r="E251" s="7">
        <v>652</v>
      </c>
    </row>
    <row r="252" spans="1:5" ht="14.25" customHeight="1" x14ac:dyDescent="0.3">
      <c r="A252" s="12">
        <v>43967</v>
      </c>
      <c r="B252" s="7" t="s">
        <v>16</v>
      </c>
      <c r="C252" s="7">
        <v>36</v>
      </c>
      <c r="D252" s="7">
        <v>5286</v>
      </c>
      <c r="E252" s="7">
        <v>4867</v>
      </c>
    </row>
    <row r="253" spans="1:5" ht="14.25" customHeight="1" x14ac:dyDescent="0.3">
      <c r="A253" s="12">
        <v>43967</v>
      </c>
      <c r="B253" s="7" t="s">
        <v>11</v>
      </c>
      <c r="C253" s="7">
        <v>31</v>
      </c>
      <c r="D253" s="7">
        <v>5593</v>
      </c>
      <c r="E253" s="7">
        <v>5177</v>
      </c>
    </row>
    <row r="254" spans="1:5" ht="14.25" customHeight="1" x14ac:dyDescent="0.3">
      <c r="A254" s="12">
        <v>43967</v>
      </c>
      <c r="B254" s="7" t="s">
        <v>17</v>
      </c>
      <c r="C254" s="7">
        <v>21</v>
      </c>
      <c r="D254" s="7">
        <v>2427</v>
      </c>
      <c r="E254" s="7">
        <v>2213</v>
      </c>
    </row>
    <row r="255" spans="1:5" ht="14.25" customHeight="1" x14ac:dyDescent="0.3">
      <c r="A255" s="12">
        <v>43967</v>
      </c>
      <c r="B255" s="7" t="s">
        <v>10</v>
      </c>
      <c r="C255" s="7">
        <v>21</v>
      </c>
      <c r="D255" s="7">
        <v>2145</v>
      </c>
      <c r="E255" s="7">
        <v>1947</v>
      </c>
    </row>
    <row r="256" spans="1:5" ht="14.25" customHeight="1" x14ac:dyDescent="0.3">
      <c r="A256" s="12">
        <v>43967</v>
      </c>
      <c r="B256" s="7" t="s">
        <v>20</v>
      </c>
      <c r="C256" s="7">
        <v>19</v>
      </c>
      <c r="D256" s="7">
        <v>2039</v>
      </c>
      <c r="E256" s="7">
        <v>1868</v>
      </c>
    </row>
    <row r="257" spans="1:5" ht="14.25" customHeight="1" x14ac:dyDescent="0.3">
      <c r="A257" s="12">
        <v>43967</v>
      </c>
      <c r="B257" s="7" t="s">
        <v>22</v>
      </c>
      <c r="C257" s="7">
        <v>54</v>
      </c>
      <c r="D257" s="7">
        <v>13170</v>
      </c>
      <c r="E257" s="7">
        <v>12299</v>
      </c>
    </row>
    <row r="258" spans="1:5" ht="14.25" customHeight="1" x14ac:dyDescent="0.3">
      <c r="A258" s="12">
        <v>43967</v>
      </c>
      <c r="B258" s="7" t="s">
        <v>21</v>
      </c>
      <c r="C258" s="7">
        <v>60</v>
      </c>
      <c r="D258" s="7">
        <v>14049</v>
      </c>
      <c r="E258" s="7">
        <v>13118</v>
      </c>
    </row>
    <row r="259" spans="1:5" ht="14.25" customHeight="1" x14ac:dyDescent="0.3">
      <c r="A259" s="12">
        <v>43967</v>
      </c>
      <c r="B259" s="7" t="s">
        <v>13</v>
      </c>
      <c r="C259" s="7">
        <v>19</v>
      </c>
      <c r="D259" s="7">
        <v>2080</v>
      </c>
      <c r="E259" s="7">
        <v>1844</v>
      </c>
    </row>
    <row r="260" spans="1:5" ht="14.25" customHeight="1" x14ac:dyDescent="0.3">
      <c r="A260" s="12">
        <v>43967</v>
      </c>
      <c r="B260" s="7" t="s">
        <v>23</v>
      </c>
      <c r="C260" s="7">
        <v>16</v>
      </c>
      <c r="D260" s="7">
        <v>920</v>
      </c>
      <c r="E260" s="7">
        <v>818</v>
      </c>
    </row>
    <row r="261" spans="1:5" ht="14.25" customHeight="1" x14ac:dyDescent="0.3">
      <c r="A261" s="12">
        <v>43967</v>
      </c>
      <c r="B261" s="7" t="s">
        <v>18</v>
      </c>
      <c r="C261" s="7">
        <v>15</v>
      </c>
      <c r="D261" s="7">
        <v>1111</v>
      </c>
      <c r="E261" s="7">
        <v>992</v>
      </c>
    </row>
    <row r="262" spans="1:5" ht="14.25" customHeight="1" x14ac:dyDescent="0.3">
      <c r="A262" s="12">
        <v>43967</v>
      </c>
      <c r="B262" s="7" t="s">
        <v>19</v>
      </c>
      <c r="C262" s="7">
        <v>15</v>
      </c>
      <c r="D262" s="7">
        <v>747</v>
      </c>
      <c r="E262" s="7">
        <v>647</v>
      </c>
    </row>
    <row r="263" spans="1:5" ht="14.25" customHeight="1" x14ac:dyDescent="0.3">
      <c r="A263" s="12">
        <v>43967</v>
      </c>
      <c r="B263" s="7" t="s">
        <v>15</v>
      </c>
      <c r="C263" s="7">
        <v>125</v>
      </c>
      <c r="D263" s="7">
        <v>22291</v>
      </c>
      <c r="E263" s="7">
        <v>20635</v>
      </c>
    </row>
    <row r="264" spans="1:5" ht="14.25" customHeight="1" x14ac:dyDescent="0.3">
      <c r="A264" s="12">
        <v>43967</v>
      </c>
      <c r="B264" s="7" t="s">
        <v>14</v>
      </c>
      <c r="C264" s="7">
        <v>129</v>
      </c>
      <c r="D264" s="7">
        <v>17914</v>
      </c>
      <c r="E264" s="7">
        <v>16631</v>
      </c>
    </row>
    <row r="265" spans="1:5" ht="14.25" customHeight="1" x14ac:dyDescent="0.3">
      <c r="A265" s="12">
        <v>43967</v>
      </c>
      <c r="B265" s="7" t="s">
        <v>12</v>
      </c>
      <c r="C265" s="7">
        <v>10</v>
      </c>
      <c r="D265" s="7">
        <v>760</v>
      </c>
      <c r="E265" s="7">
        <v>672</v>
      </c>
    </row>
    <row r="266" spans="1:5" ht="14.25" customHeight="1" x14ac:dyDescent="0.3">
      <c r="A266" s="12">
        <v>43968</v>
      </c>
      <c r="B266" s="7" t="s">
        <v>16</v>
      </c>
      <c r="C266" s="7">
        <v>36</v>
      </c>
      <c r="D266" s="7">
        <v>4918</v>
      </c>
      <c r="E266" s="7">
        <v>4554</v>
      </c>
    </row>
    <row r="267" spans="1:5" ht="14.25" customHeight="1" x14ac:dyDescent="0.3">
      <c r="A267" s="12">
        <v>43968</v>
      </c>
      <c r="B267" s="7" t="s">
        <v>11</v>
      </c>
      <c r="C267" s="7">
        <v>31</v>
      </c>
      <c r="D267" s="7">
        <v>5206</v>
      </c>
      <c r="E267" s="7">
        <v>4843</v>
      </c>
    </row>
    <row r="268" spans="1:5" ht="14.25" customHeight="1" x14ac:dyDescent="0.3">
      <c r="A268" s="12">
        <v>43968</v>
      </c>
      <c r="B268" s="7" t="s">
        <v>17</v>
      </c>
      <c r="C268" s="7">
        <v>21</v>
      </c>
      <c r="D268" s="7">
        <v>2054</v>
      </c>
      <c r="E268" s="7">
        <v>1883</v>
      </c>
    </row>
    <row r="269" spans="1:5" ht="14.25" customHeight="1" x14ac:dyDescent="0.3">
      <c r="A269" s="12">
        <v>43968</v>
      </c>
      <c r="B269" s="7" t="s">
        <v>10</v>
      </c>
      <c r="C269" s="7">
        <v>21</v>
      </c>
      <c r="D269" s="7">
        <v>1874</v>
      </c>
      <c r="E269" s="7">
        <v>1705</v>
      </c>
    </row>
    <row r="270" spans="1:5" ht="14.25" customHeight="1" x14ac:dyDescent="0.3">
      <c r="A270" s="12">
        <v>43968</v>
      </c>
      <c r="B270" s="7" t="s">
        <v>20</v>
      </c>
      <c r="C270" s="7">
        <v>19</v>
      </c>
      <c r="D270" s="7">
        <v>1790</v>
      </c>
      <c r="E270" s="7">
        <v>1633</v>
      </c>
    </row>
    <row r="271" spans="1:5" ht="14.25" customHeight="1" x14ac:dyDescent="0.3">
      <c r="A271" s="12">
        <v>43968</v>
      </c>
      <c r="B271" s="7" t="s">
        <v>22</v>
      </c>
      <c r="C271" s="7">
        <v>54</v>
      </c>
      <c r="D271" s="7">
        <v>11128</v>
      </c>
      <c r="E271" s="7">
        <v>10467</v>
      </c>
    </row>
    <row r="272" spans="1:5" ht="14.25" customHeight="1" x14ac:dyDescent="0.3">
      <c r="A272" s="12">
        <v>43968</v>
      </c>
      <c r="B272" s="7" t="s">
        <v>21</v>
      </c>
      <c r="C272" s="7">
        <v>60</v>
      </c>
      <c r="D272" s="7">
        <v>11698</v>
      </c>
      <c r="E272" s="7">
        <v>10989</v>
      </c>
    </row>
    <row r="273" spans="1:5" ht="14.25" customHeight="1" x14ac:dyDescent="0.3">
      <c r="A273" s="12">
        <v>43968</v>
      </c>
      <c r="B273" s="7" t="s">
        <v>13</v>
      </c>
      <c r="C273" s="7">
        <v>19</v>
      </c>
      <c r="D273" s="7">
        <v>1871</v>
      </c>
      <c r="E273" s="7">
        <v>1660</v>
      </c>
    </row>
    <row r="274" spans="1:5" ht="14.25" customHeight="1" x14ac:dyDescent="0.3">
      <c r="A274" s="12">
        <v>43968</v>
      </c>
      <c r="B274" s="7" t="s">
        <v>23</v>
      </c>
      <c r="C274" s="7">
        <v>16</v>
      </c>
      <c r="D274" s="7">
        <v>859</v>
      </c>
      <c r="E274" s="7">
        <v>746</v>
      </c>
    </row>
    <row r="275" spans="1:5" ht="14.25" customHeight="1" x14ac:dyDescent="0.3">
      <c r="A275" s="12">
        <v>43968</v>
      </c>
      <c r="B275" s="7" t="s">
        <v>18</v>
      </c>
      <c r="C275" s="7">
        <v>15</v>
      </c>
      <c r="D275" s="7">
        <v>971</v>
      </c>
      <c r="E275" s="7">
        <v>856</v>
      </c>
    </row>
    <row r="276" spans="1:5" ht="14.25" customHeight="1" x14ac:dyDescent="0.3">
      <c r="A276" s="12">
        <v>43968</v>
      </c>
      <c r="B276" s="7" t="s">
        <v>19</v>
      </c>
      <c r="C276" s="7">
        <v>15</v>
      </c>
      <c r="D276" s="7">
        <v>692</v>
      </c>
      <c r="E276" s="7">
        <v>591</v>
      </c>
    </row>
    <row r="277" spans="1:5" ht="14.25" customHeight="1" x14ac:dyDescent="0.3">
      <c r="A277" s="12">
        <v>43968</v>
      </c>
      <c r="B277" s="7" t="s">
        <v>15</v>
      </c>
      <c r="C277" s="7">
        <v>125</v>
      </c>
      <c r="D277" s="7">
        <v>20079</v>
      </c>
      <c r="E277" s="7">
        <v>18721</v>
      </c>
    </row>
    <row r="278" spans="1:5" ht="14.25" customHeight="1" x14ac:dyDescent="0.3">
      <c r="A278" s="12">
        <v>43968</v>
      </c>
      <c r="B278" s="7" t="s">
        <v>14</v>
      </c>
      <c r="C278" s="7">
        <v>129</v>
      </c>
      <c r="D278" s="7">
        <v>15744</v>
      </c>
      <c r="E278" s="7">
        <v>14685</v>
      </c>
    </row>
    <row r="279" spans="1:5" ht="14.25" customHeight="1" x14ac:dyDescent="0.3">
      <c r="A279" s="12">
        <v>43968</v>
      </c>
      <c r="B279" s="7" t="s">
        <v>12</v>
      </c>
      <c r="C279" s="7">
        <v>10</v>
      </c>
      <c r="D279" s="7">
        <v>591</v>
      </c>
      <c r="E279" s="7">
        <v>513</v>
      </c>
    </row>
    <row r="280" spans="1:5" ht="14.25" customHeight="1" x14ac:dyDescent="0.3">
      <c r="A280" s="12">
        <v>43969</v>
      </c>
      <c r="B280" s="7" t="s">
        <v>16</v>
      </c>
      <c r="C280" s="7">
        <v>36</v>
      </c>
      <c r="D280" s="7">
        <v>4885</v>
      </c>
      <c r="E280" s="7">
        <v>4502</v>
      </c>
    </row>
    <row r="281" spans="1:5" ht="14.25" customHeight="1" x14ac:dyDescent="0.3">
      <c r="A281" s="12">
        <v>43969</v>
      </c>
      <c r="B281" s="7" t="s">
        <v>11</v>
      </c>
      <c r="C281" s="7">
        <v>31</v>
      </c>
      <c r="D281" s="7">
        <v>5165</v>
      </c>
      <c r="E281" s="7">
        <v>4813</v>
      </c>
    </row>
    <row r="282" spans="1:5" ht="14.25" customHeight="1" x14ac:dyDescent="0.3">
      <c r="A282" s="12">
        <v>43969</v>
      </c>
      <c r="B282" s="7" t="s">
        <v>17</v>
      </c>
      <c r="C282" s="7">
        <v>21</v>
      </c>
      <c r="D282" s="7">
        <v>2136</v>
      </c>
      <c r="E282" s="7">
        <v>1947</v>
      </c>
    </row>
    <row r="283" spans="1:5" ht="14.25" customHeight="1" x14ac:dyDescent="0.3">
      <c r="A283" s="12">
        <v>43969</v>
      </c>
      <c r="B283" s="7" t="s">
        <v>10</v>
      </c>
      <c r="C283" s="7">
        <v>21</v>
      </c>
      <c r="D283" s="7">
        <v>1834</v>
      </c>
      <c r="E283" s="7">
        <v>1660</v>
      </c>
    </row>
    <row r="284" spans="1:5" ht="14.25" customHeight="1" x14ac:dyDescent="0.3">
      <c r="A284" s="12">
        <v>43969</v>
      </c>
      <c r="B284" s="7" t="s">
        <v>20</v>
      </c>
      <c r="C284" s="7">
        <v>19</v>
      </c>
      <c r="D284" s="7">
        <v>1741</v>
      </c>
      <c r="E284" s="7">
        <v>1597</v>
      </c>
    </row>
    <row r="285" spans="1:5" ht="14.25" customHeight="1" x14ac:dyDescent="0.3">
      <c r="A285" s="12">
        <v>43969</v>
      </c>
      <c r="B285" s="7" t="s">
        <v>22</v>
      </c>
      <c r="C285" s="7">
        <v>54</v>
      </c>
      <c r="D285" s="7">
        <v>12012</v>
      </c>
      <c r="E285" s="7">
        <v>11308</v>
      </c>
    </row>
    <row r="286" spans="1:5" ht="14.25" customHeight="1" x14ac:dyDescent="0.3">
      <c r="A286" s="12">
        <v>43969</v>
      </c>
      <c r="B286" s="7" t="s">
        <v>21</v>
      </c>
      <c r="C286" s="7">
        <v>60</v>
      </c>
      <c r="D286" s="7">
        <v>12460</v>
      </c>
      <c r="E286" s="7">
        <v>11665</v>
      </c>
    </row>
    <row r="287" spans="1:5" ht="14.25" customHeight="1" x14ac:dyDescent="0.3">
      <c r="A287" s="12">
        <v>43969</v>
      </c>
      <c r="B287" s="7" t="s">
        <v>13</v>
      </c>
      <c r="C287" s="7">
        <v>19</v>
      </c>
      <c r="D287" s="7">
        <v>1858</v>
      </c>
      <c r="E287" s="7">
        <v>1648</v>
      </c>
    </row>
    <row r="288" spans="1:5" ht="14.25" customHeight="1" x14ac:dyDescent="0.3">
      <c r="A288" s="12">
        <v>43969</v>
      </c>
      <c r="B288" s="7" t="s">
        <v>23</v>
      </c>
      <c r="C288" s="7">
        <v>16</v>
      </c>
      <c r="D288" s="7">
        <v>864</v>
      </c>
      <c r="E288" s="7">
        <v>765</v>
      </c>
    </row>
    <row r="289" spans="1:5" ht="14.25" customHeight="1" x14ac:dyDescent="0.3">
      <c r="A289" s="12">
        <v>43969</v>
      </c>
      <c r="B289" s="7" t="s">
        <v>18</v>
      </c>
      <c r="C289" s="7">
        <v>16</v>
      </c>
      <c r="D289" s="7">
        <v>925</v>
      </c>
      <c r="E289" s="7">
        <v>816</v>
      </c>
    </row>
    <row r="290" spans="1:5" ht="14.25" customHeight="1" x14ac:dyDescent="0.3">
      <c r="A290" s="12">
        <v>43969</v>
      </c>
      <c r="B290" s="7" t="s">
        <v>19</v>
      </c>
      <c r="C290" s="7">
        <v>15</v>
      </c>
      <c r="D290" s="7">
        <v>729</v>
      </c>
      <c r="E290" s="7">
        <v>636</v>
      </c>
    </row>
    <row r="291" spans="1:5" ht="14.25" customHeight="1" x14ac:dyDescent="0.3">
      <c r="A291" s="12">
        <v>43969</v>
      </c>
      <c r="B291" s="7" t="s">
        <v>15</v>
      </c>
      <c r="C291" s="7">
        <v>125</v>
      </c>
      <c r="D291" s="7">
        <v>20449</v>
      </c>
      <c r="E291" s="7">
        <v>19060</v>
      </c>
    </row>
    <row r="292" spans="1:5" ht="14.25" customHeight="1" x14ac:dyDescent="0.3">
      <c r="A292" s="12">
        <v>43969</v>
      </c>
      <c r="B292" s="7" t="s">
        <v>14</v>
      </c>
      <c r="C292" s="7">
        <v>129</v>
      </c>
      <c r="D292" s="7">
        <v>16110</v>
      </c>
      <c r="E292" s="7">
        <v>14992</v>
      </c>
    </row>
    <row r="293" spans="1:5" ht="14.25" customHeight="1" x14ac:dyDescent="0.3">
      <c r="A293" s="12">
        <v>43969</v>
      </c>
      <c r="B293" s="7" t="s">
        <v>12</v>
      </c>
      <c r="C293" s="7">
        <v>10</v>
      </c>
      <c r="D293" s="7">
        <v>645</v>
      </c>
      <c r="E293" s="7">
        <v>565</v>
      </c>
    </row>
    <row r="294" spans="1:5" ht="14.25" customHeight="1" x14ac:dyDescent="0.3">
      <c r="A294" s="12">
        <v>43970</v>
      </c>
      <c r="B294" s="7" t="s">
        <v>16</v>
      </c>
      <c r="C294" s="7">
        <v>36</v>
      </c>
      <c r="D294" s="7">
        <v>5094</v>
      </c>
      <c r="E294" s="7">
        <v>4716</v>
      </c>
    </row>
    <row r="295" spans="1:5" ht="14.25" customHeight="1" x14ac:dyDescent="0.3">
      <c r="A295" s="12">
        <v>43970</v>
      </c>
      <c r="B295" s="7" t="s">
        <v>11</v>
      </c>
      <c r="C295" s="7">
        <v>31</v>
      </c>
      <c r="D295" s="7">
        <v>5389</v>
      </c>
      <c r="E295" s="7">
        <v>5024</v>
      </c>
    </row>
    <row r="296" spans="1:5" ht="14.25" customHeight="1" x14ac:dyDescent="0.3">
      <c r="A296" s="12">
        <v>43970</v>
      </c>
      <c r="B296" s="7" t="s">
        <v>17</v>
      </c>
      <c r="C296" s="7">
        <v>21</v>
      </c>
      <c r="D296" s="7">
        <v>2245</v>
      </c>
      <c r="E296" s="7">
        <v>2053</v>
      </c>
    </row>
    <row r="297" spans="1:5" ht="14.25" customHeight="1" x14ac:dyDescent="0.3">
      <c r="A297" s="12">
        <v>43970</v>
      </c>
      <c r="B297" s="7" t="s">
        <v>10</v>
      </c>
      <c r="C297" s="7">
        <v>21</v>
      </c>
      <c r="D297" s="7">
        <v>1860</v>
      </c>
      <c r="E297" s="7">
        <v>1704</v>
      </c>
    </row>
    <row r="298" spans="1:5" ht="14.25" customHeight="1" x14ac:dyDescent="0.3">
      <c r="A298" s="12">
        <v>43970</v>
      </c>
      <c r="B298" s="7" t="s">
        <v>20</v>
      </c>
      <c r="C298" s="7">
        <v>19</v>
      </c>
      <c r="D298" s="7">
        <v>1831</v>
      </c>
      <c r="E298" s="7">
        <v>1667</v>
      </c>
    </row>
    <row r="299" spans="1:5" ht="14.25" customHeight="1" x14ac:dyDescent="0.3">
      <c r="A299" s="12">
        <v>43970</v>
      </c>
      <c r="B299" s="7" t="s">
        <v>22</v>
      </c>
      <c r="C299" s="7">
        <v>54</v>
      </c>
      <c r="D299" s="7">
        <v>13070</v>
      </c>
      <c r="E299" s="7">
        <v>12244</v>
      </c>
    </row>
    <row r="300" spans="1:5" ht="14.25" customHeight="1" x14ac:dyDescent="0.3">
      <c r="A300" s="12">
        <v>43970</v>
      </c>
      <c r="B300" s="7" t="s">
        <v>21</v>
      </c>
      <c r="C300" s="7">
        <v>60</v>
      </c>
      <c r="D300" s="7">
        <v>13867</v>
      </c>
      <c r="E300" s="7">
        <v>12987</v>
      </c>
    </row>
    <row r="301" spans="1:5" ht="14.25" customHeight="1" x14ac:dyDescent="0.3">
      <c r="A301" s="12">
        <v>43970</v>
      </c>
      <c r="B301" s="7" t="s">
        <v>13</v>
      </c>
      <c r="C301" s="7">
        <v>19</v>
      </c>
      <c r="D301" s="7">
        <v>1999</v>
      </c>
      <c r="E301" s="7">
        <v>1799</v>
      </c>
    </row>
    <row r="302" spans="1:5" ht="14.25" customHeight="1" x14ac:dyDescent="0.3">
      <c r="A302" s="12">
        <v>43970</v>
      </c>
      <c r="B302" s="7" t="s">
        <v>23</v>
      </c>
      <c r="C302" s="7">
        <v>17</v>
      </c>
      <c r="D302" s="7">
        <v>857</v>
      </c>
      <c r="E302" s="7">
        <v>757</v>
      </c>
    </row>
    <row r="303" spans="1:5" ht="14.25" customHeight="1" x14ac:dyDescent="0.3">
      <c r="A303" s="12">
        <v>43970</v>
      </c>
      <c r="B303" s="7" t="s">
        <v>18</v>
      </c>
      <c r="C303" s="7">
        <v>16</v>
      </c>
      <c r="D303" s="7">
        <v>1012</v>
      </c>
      <c r="E303" s="7">
        <v>900</v>
      </c>
    </row>
    <row r="304" spans="1:5" ht="14.25" customHeight="1" x14ac:dyDescent="0.3">
      <c r="A304" s="12">
        <v>43970</v>
      </c>
      <c r="B304" s="7" t="s">
        <v>19</v>
      </c>
      <c r="C304" s="7">
        <v>15</v>
      </c>
      <c r="D304" s="7">
        <v>930</v>
      </c>
      <c r="E304" s="7">
        <v>827</v>
      </c>
    </row>
    <row r="305" spans="1:5" ht="14.25" customHeight="1" x14ac:dyDescent="0.3">
      <c r="A305" s="12">
        <v>43970</v>
      </c>
      <c r="B305" s="7" t="s">
        <v>15</v>
      </c>
      <c r="C305" s="7">
        <v>125</v>
      </c>
      <c r="D305" s="7">
        <v>20771</v>
      </c>
      <c r="E305" s="7">
        <v>19338</v>
      </c>
    </row>
    <row r="306" spans="1:5" ht="14.25" customHeight="1" x14ac:dyDescent="0.3">
      <c r="A306" s="12">
        <v>43970</v>
      </c>
      <c r="B306" s="7" t="s">
        <v>14</v>
      </c>
      <c r="C306" s="7">
        <v>129</v>
      </c>
      <c r="D306" s="7">
        <v>16191</v>
      </c>
      <c r="E306" s="7">
        <v>15102</v>
      </c>
    </row>
    <row r="307" spans="1:5" ht="14.25" customHeight="1" x14ac:dyDescent="0.3">
      <c r="A307" s="12">
        <v>43970</v>
      </c>
      <c r="B307" s="7" t="s">
        <v>12</v>
      </c>
      <c r="C307" s="7">
        <v>10</v>
      </c>
      <c r="D307" s="7">
        <v>649</v>
      </c>
      <c r="E307" s="7">
        <v>568</v>
      </c>
    </row>
    <row r="308" spans="1:5" ht="14.25" customHeight="1" x14ac:dyDescent="0.3">
      <c r="A308" s="12">
        <v>43971</v>
      </c>
      <c r="B308" s="7" t="s">
        <v>16</v>
      </c>
      <c r="C308" s="7">
        <v>36</v>
      </c>
      <c r="D308" s="7">
        <v>5914</v>
      </c>
      <c r="E308" s="7">
        <v>5384</v>
      </c>
    </row>
    <row r="309" spans="1:5" ht="14.25" customHeight="1" x14ac:dyDescent="0.3">
      <c r="A309" s="12">
        <v>43971</v>
      </c>
      <c r="B309" s="7" t="s">
        <v>11</v>
      </c>
      <c r="C309" s="7">
        <v>31</v>
      </c>
      <c r="D309" s="7">
        <v>5698</v>
      </c>
      <c r="E309" s="7">
        <v>5258</v>
      </c>
    </row>
    <row r="310" spans="1:5" ht="14.25" customHeight="1" x14ac:dyDescent="0.3">
      <c r="A310" s="12">
        <v>43971</v>
      </c>
      <c r="B310" s="7" t="s">
        <v>17</v>
      </c>
      <c r="C310" s="7">
        <v>21</v>
      </c>
      <c r="D310" s="7">
        <v>2410</v>
      </c>
      <c r="E310" s="7">
        <v>2202</v>
      </c>
    </row>
    <row r="311" spans="1:5" ht="14.25" customHeight="1" x14ac:dyDescent="0.3">
      <c r="A311" s="12">
        <v>43971</v>
      </c>
      <c r="B311" s="7" t="s">
        <v>10</v>
      </c>
      <c r="C311" s="7">
        <v>21</v>
      </c>
      <c r="D311" s="7">
        <v>1921</v>
      </c>
      <c r="E311" s="7">
        <v>1767</v>
      </c>
    </row>
    <row r="312" spans="1:5" ht="14.25" customHeight="1" x14ac:dyDescent="0.3">
      <c r="A312" s="12">
        <v>43971</v>
      </c>
      <c r="B312" s="7" t="s">
        <v>20</v>
      </c>
      <c r="C312" s="7">
        <v>19</v>
      </c>
      <c r="D312" s="7">
        <v>1823</v>
      </c>
      <c r="E312" s="7">
        <v>1678</v>
      </c>
    </row>
    <row r="313" spans="1:5" ht="14.25" customHeight="1" x14ac:dyDescent="0.3">
      <c r="A313" s="12">
        <v>43971</v>
      </c>
      <c r="B313" s="7" t="s">
        <v>22</v>
      </c>
      <c r="C313" s="7">
        <v>54</v>
      </c>
      <c r="D313" s="7">
        <v>13298</v>
      </c>
      <c r="E313" s="7">
        <v>12428</v>
      </c>
    </row>
    <row r="314" spans="1:5" ht="14.25" customHeight="1" x14ac:dyDescent="0.3">
      <c r="A314" s="12">
        <v>43971</v>
      </c>
      <c r="B314" s="7" t="s">
        <v>21</v>
      </c>
      <c r="C314" s="7">
        <v>60</v>
      </c>
      <c r="D314" s="7">
        <v>13792</v>
      </c>
      <c r="E314" s="7">
        <v>12834</v>
      </c>
    </row>
    <row r="315" spans="1:5" ht="14.25" customHeight="1" x14ac:dyDescent="0.3">
      <c r="A315" s="12">
        <v>43971</v>
      </c>
      <c r="B315" s="7" t="s">
        <v>13</v>
      </c>
      <c r="C315" s="7">
        <v>19</v>
      </c>
      <c r="D315" s="7">
        <v>1889</v>
      </c>
      <c r="E315" s="7">
        <v>1690</v>
      </c>
    </row>
    <row r="316" spans="1:5" ht="14.25" customHeight="1" x14ac:dyDescent="0.3">
      <c r="A316" s="12">
        <v>43971</v>
      </c>
      <c r="B316" s="7" t="s">
        <v>23</v>
      </c>
      <c r="C316" s="7">
        <v>17</v>
      </c>
      <c r="D316" s="7">
        <v>890</v>
      </c>
      <c r="E316" s="7">
        <v>794</v>
      </c>
    </row>
    <row r="317" spans="1:5" ht="14.25" customHeight="1" x14ac:dyDescent="0.3">
      <c r="A317" s="12">
        <v>43971</v>
      </c>
      <c r="B317" s="7" t="s">
        <v>18</v>
      </c>
      <c r="C317" s="7">
        <v>16</v>
      </c>
      <c r="D317" s="7">
        <v>1050</v>
      </c>
      <c r="E317" s="7">
        <v>938</v>
      </c>
    </row>
    <row r="318" spans="1:5" ht="14.25" customHeight="1" x14ac:dyDescent="0.3">
      <c r="A318" s="12">
        <v>43971</v>
      </c>
      <c r="B318" s="7" t="s">
        <v>19</v>
      </c>
      <c r="C318" s="7">
        <v>15</v>
      </c>
      <c r="D318" s="7">
        <v>760</v>
      </c>
      <c r="E318" s="7">
        <v>664</v>
      </c>
    </row>
    <row r="319" spans="1:5" ht="14.25" customHeight="1" x14ac:dyDescent="0.3">
      <c r="A319" s="12">
        <v>43971</v>
      </c>
      <c r="B319" s="7" t="s">
        <v>15</v>
      </c>
      <c r="C319" s="7">
        <v>125</v>
      </c>
      <c r="D319" s="7">
        <v>21674</v>
      </c>
      <c r="E319" s="7">
        <v>20155</v>
      </c>
    </row>
    <row r="320" spans="1:5" ht="14.25" customHeight="1" x14ac:dyDescent="0.3">
      <c r="A320" s="12">
        <v>43971</v>
      </c>
      <c r="B320" s="7" t="s">
        <v>14</v>
      </c>
      <c r="C320" s="7">
        <v>129</v>
      </c>
      <c r="D320" s="7">
        <v>17095</v>
      </c>
      <c r="E320" s="7">
        <v>15919</v>
      </c>
    </row>
    <row r="321" spans="1:5" ht="14.25" customHeight="1" x14ac:dyDescent="0.3">
      <c r="A321" s="12">
        <v>43971</v>
      </c>
      <c r="B321" s="7" t="s">
        <v>12</v>
      </c>
      <c r="C321" s="7">
        <v>10</v>
      </c>
      <c r="D321" s="7">
        <v>745</v>
      </c>
      <c r="E321" s="7">
        <v>654</v>
      </c>
    </row>
    <row r="322" spans="1:5" ht="14.25" customHeight="1" x14ac:dyDescent="0.3">
      <c r="A322" s="12">
        <v>43972</v>
      </c>
      <c r="B322" s="7" t="s">
        <v>16</v>
      </c>
      <c r="C322" s="7">
        <v>36</v>
      </c>
      <c r="D322" s="7">
        <v>4816</v>
      </c>
      <c r="E322" s="7">
        <v>4452</v>
      </c>
    </row>
    <row r="323" spans="1:5" ht="14.25" customHeight="1" x14ac:dyDescent="0.3">
      <c r="A323" s="12">
        <v>43972</v>
      </c>
      <c r="B323" s="7" t="s">
        <v>11</v>
      </c>
      <c r="C323" s="7">
        <v>31</v>
      </c>
      <c r="D323" s="7">
        <v>5207</v>
      </c>
      <c r="E323" s="7">
        <v>4868</v>
      </c>
    </row>
    <row r="324" spans="1:5" ht="14.25" customHeight="1" x14ac:dyDescent="0.3">
      <c r="A324" s="12">
        <v>43972</v>
      </c>
      <c r="B324" s="7" t="s">
        <v>17</v>
      </c>
      <c r="C324" s="7">
        <v>21</v>
      </c>
      <c r="D324" s="7">
        <v>2335</v>
      </c>
      <c r="E324" s="7">
        <v>2126</v>
      </c>
    </row>
    <row r="325" spans="1:5" ht="14.25" customHeight="1" x14ac:dyDescent="0.3">
      <c r="A325" s="12">
        <v>43972</v>
      </c>
      <c r="B325" s="7" t="s">
        <v>10</v>
      </c>
      <c r="C325" s="7">
        <v>21</v>
      </c>
      <c r="D325" s="7">
        <v>1787</v>
      </c>
      <c r="E325" s="7">
        <v>1626</v>
      </c>
    </row>
    <row r="326" spans="1:5" ht="14.25" customHeight="1" x14ac:dyDescent="0.3">
      <c r="A326" s="12">
        <v>43972</v>
      </c>
      <c r="B326" s="7" t="s">
        <v>20</v>
      </c>
      <c r="C326" s="7">
        <v>19</v>
      </c>
      <c r="D326" s="7">
        <v>1650</v>
      </c>
      <c r="E326" s="7">
        <v>1505</v>
      </c>
    </row>
    <row r="327" spans="1:5" ht="14.25" customHeight="1" x14ac:dyDescent="0.3">
      <c r="A327" s="12">
        <v>43972</v>
      </c>
      <c r="B327" s="7" t="s">
        <v>22</v>
      </c>
      <c r="C327" s="7">
        <v>54</v>
      </c>
      <c r="D327" s="7">
        <v>13240</v>
      </c>
      <c r="E327" s="7">
        <v>12360</v>
      </c>
    </row>
    <row r="328" spans="1:5" ht="14.25" customHeight="1" x14ac:dyDescent="0.3">
      <c r="A328" s="12">
        <v>43972</v>
      </c>
      <c r="B328" s="7" t="s">
        <v>21</v>
      </c>
      <c r="C328" s="7">
        <v>60</v>
      </c>
      <c r="D328" s="7">
        <v>14005</v>
      </c>
      <c r="E328" s="7">
        <v>13002</v>
      </c>
    </row>
    <row r="329" spans="1:5" ht="14.25" customHeight="1" x14ac:dyDescent="0.3">
      <c r="A329" s="12">
        <v>43972</v>
      </c>
      <c r="B329" s="7" t="s">
        <v>13</v>
      </c>
      <c r="C329" s="7">
        <v>19</v>
      </c>
      <c r="D329" s="7">
        <v>1949</v>
      </c>
      <c r="E329" s="7">
        <v>1724</v>
      </c>
    </row>
    <row r="330" spans="1:5" ht="14.25" customHeight="1" x14ac:dyDescent="0.3">
      <c r="A330" s="12">
        <v>43972</v>
      </c>
      <c r="B330" s="7" t="s">
        <v>23</v>
      </c>
      <c r="C330" s="7">
        <v>18</v>
      </c>
      <c r="D330" s="7">
        <v>888</v>
      </c>
      <c r="E330" s="7">
        <v>786</v>
      </c>
    </row>
    <row r="331" spans="1:5" ht="14.25" customHeight="1" x14ac:dyDescent="0.3">
      <c r="A331" s="12">
        <v>43972</v>
      </c>
      <c r="B331" s="7" t="s">
        <v>18</v>
      </c>
      <c r="C331" s="7">
        <v>17</v>
      </c>
      <c r="D331" s="7">
        <v>1045</v>
      </c>
      <c r="E331" s="7">
        <v>930</v>
      </c>
    </row>
    <row r="332" spans="1:5" ht="14.25" customHeight="1" x14ac:dyDescent="0.3">
      <c r="A332" s="12">
        <v>43972</v>
      </c>
      <c r="B332" s="7" t="s">
        <v>19</v>
      </c>
      <c r="C332" s="7">
        <v>15</v>
      </c>
      <c r="D332" s="7">
        <v>749</v>
      </c>
      <c r="E332" s="7">
        <v>652</v>
      </c>
    </row>
    <row r="333" spans="1:5" ht="14.25" customHeight="1" x14ac:dyDescent="0.3">
      <c r="A333" s="12">
        <v>43972</v>
      </c>
      <c r="B333" s="7" t="s">
        <v>15</v>
      </c>
      <c r="C333" s="7">
        <v>125</v>
      </c>
      <c r="D333" s="7">
        <v>20911</v>
      </c>
      <c r="E333" s="7">
        <v>19358</v>
      </c>
    </row>
    <row r="334" spans="1:5" ht="14.25" customHeight="1" x14ac:dyDescent="0.3">
      <c r="A334" s="12">
        <v>43972</v>
      </c>
      <c r="B334" s="7" t="s">
        <v>14</v>
      </c>
      <c r="C334" s="7">
        <v>129</v>
      </c>
      <c r="D334" s="7">
        <v>16373</v>
      </c>
      <c r="E334" s="7">
        <v>15223</v>
      </c>
    </row>
    <row r="335" spans="1:5" ht="14.25" customHeight="1" x14ac:dyDescent="0.3">
      <c r="A335" s="12">
        <v>43972</v>
      </c>
      <c r="B335" s="7" t="s">
        <v>12</v>
      </c>
      <c r="C335" s="7">
        <v>10</v>
      </c>
      <c r="D335" s="7">
        <v>677</v>
      </c>
      <c r="E335" s="7">
        <v>591</v>
      </c>
    </row>
    <row r="336" spans="1:5" ht="14.25" customHeight="1" x14ac:dyDescent="0.3">
      <c r="A336" s="12">
        <v>43973</v>
      </c>
      <c r="B336" s="7" t="s">
        <v>16</v>
      </c>
      <c r="C336" s="7">
        <v>36</v>
      </c>
      <c r="D336" s="7">
        <v>4857</v>
      </c>
      <c r="E336" s="7">
        <v>4456</v>
      </c>
    </row>
    <row r="337" spans="1:5" ht="14.25" customHeight="1" x14ac:dyDescent="0.3">
      <c r="A337" s="12">
        <v>43973</v>
      </c>
      <c r="B337" s="7" t="s">
        <v>11</v>
      </c>
      <c r="C337" s="7">
        <v>31</v>
      </c>
      <c r="D337" s="7">
        <v>5965</v>
      </c>
      <c r="E337" s="7">
        <v>5533</v>
      </c>
    </row>
    <row r="338" spans="1:5" ht="14.25" customHeight="1" x14ac:dyDescent="0.3">
      <c r="A338" s="12">
        <v>43973</v>
      </c>
      <c r="B338" s="7" t="s">
        <v>17</v>
      </c>
      <c r="C338" s="7">
        <v>21</v>
      </c>
      <c r="D338" s="7">
        <v>2861</v>
      </c>
      <c r="E338" s="7">
        <v>2612</v>
      </c>
    </row>
    <row r="339" spans="1:5" ht="14.25" customHeight="1" x14ac:dyDescent="0.3">
      <c r="A339" s="12">
        <v>43973</v>
      </c>
      <c r="B339" s="7" t="s">
        <v>10</v>
      </c>
      <c r="C339" s="7">
        <v>21</v>
      </c>
      <c r="D339" s="7">
        <v>2046</v>
      </c>
      <c r="E339" s="7">
        <v>1853</v>
      </c>
    </row>
    <row r="340" spans="1:5" ht="14.25" customHeight="1" x14ac:dyDescent="0.3">
      <c r="A340" s="12">
        <v>43973</v>
      </c>
      <c r="B340" s="7" t="s">
        <v>20</v>
      </c>
      <c r="C340" s="7">
        <v>19</v>
      </c>
      <c r="D340" s="7">
        <v>1859</v>
      </c>
      <c r="E340" s="7">
        <v>1697</v>
      </c>
    </row>
    <row r="341" spans="1:5" ht="14.25" customHeight="1" x14ac:dyDescent="0.3">
      <c r="A341" s="12">
        <v>43973</v>
      </c>
      <c r="B341" s="7" t="s">
        <v>22</v>
      </c>
      <c r="C341" s="7">
        <v>54</v>
      </c>
      <c r="D341" s="7">
        <v>13014</v>
      </c>
      <c r="E341" s="7">
        <v>12095</v>
      </c>
    </row>
    <row r="342" spans="1:5" ht="14.25" customHeight="1" x14ac:dyDescent="0.3">
      <c r="A342" s="12">
        <v>43973</v>
      </c>
      <c r="B342" s="7" t="s">
        <v>21</v>
      </c>
      <c r="C342" s="7">
        <v>60</v>
      </c>
      <c r="D342" s="7">
        <v>14050</v>
      </c>
      <c r="E342" s="7">
        <v>13027</v>
      </c>
    </row>
    <row r="343" spans="1:5" ht="14.25" customHeight="1" x14ac:dyDescent="0.3">
      <c r="A343" s="12">
        <v>43973</v>
      </c>
      <c r="B343" s="7" t="s">
        <v>13</v>
      </c>
      <c r="C343" s="7">
        <v>20</v>
      </c>
      <c r="D343" s="7">
        <v>2306</v>
      </c>
      <c r="E343" s="7">
        <v>2054</v>
      </c>
    </row>
    <row r="344" spans="1:5" ht="14.25" customHeight="1" x14ac:dyDescent="0.3">
      <c r="A344" s="12">
        <v>43973</v>
      </c>
      <c r="B344" s="7" t="s">
        <v>23</v>
      </c>
      <c r="C344" s="7">
        <v>18</v>
      </c>
      <c r="D344" s="7">
        <v>985</v>
      </c>
      <c r="E344" s="7">
        <v>861</v>
      </c>
    </row>
    <row r="345" spans="1:5" ht="14.25" customHeight="1" x14ac:dyDescent="0.3">
      <c r="A345" s="12">
        <v>43973</v>
      </c>
      <c r="B345" s="7" t="s">
        <v>18</v>
      </c>
      <c r="C345" s="7">
        <v>17</v>
      </c>
      <c r="D345" s="7">
        <v>1268</v>
      </c>
      <c r="E345" s="7">
        <v>1129</v>
      </c>
    </row>
    <row r="346" spans="1:5" ht="14.25" customHeight="1" x14ac:dyDescent="0.3">
      <c r="A346" s="12">
        <v>43973</v>
      </c>
      <c r="B346" s="7" t="s">
        <v>19</v>
      </c>
      <c r="C346" s="7">
        <v>15</v>
      </c>
      <c r="D346" s="7">
        <v>903</v>
      </c>
      <c r="E346" s="7">
        <v>792</v>
      </c>
    </row>
    <row r="347" spans="1:5" ht="14.25" customHeight="1" x14ac:dyDescent="0.3">
      <c r="A347" s="12">
        <v>43973</v>
      </c>
      <c r="B347" s="7" t="s">
        <v>15</v>
      </c>
      <c r="C347" s="7">
        <v>125</v>
      </c>
      <c r="D347" s="7">
        <v>21427</v>
      </c>
      <c r="E347" s="7">
        <v>19799</v>
      </c>
    </row>
    <row r="348" spans="1:5" ht="14.25" customHeight="1" x14ac:dyDescent="0.3">
      <c r="A348" s="12">
        <v>43973</v>
      </c>
      <c r="B348" s="7" t="s">
        <v>14</v>
      </c>
      <c r="C348" s="7">
        <v>129</v>
      </c>
      <c r="D348" s="7">
        <v>17088</v>
      </c>
      <c r="E348" s="7">
        <v>15804</v>
      </c>
    </row>
    <row r="349" spans="1:5" ht="14.25" customHeight="1" x14ac:dyDescent="0.3">
      <c r="A349" s="12">
        <v>43973</v>
      </c>
      <c r="B349" s="7" t="s">
        <v>12</v>
      </c>
      <c r="C349" s="7">
        <v>10</v>
      </c>
      <c r="D349" s="7">
        <v>965</v>
      </c>
      <c r="E349" s="7">
        <v>861</v>
      </c>
    </row>
    <row r="350" spans="1:5" ht="14.25" customHeight="1" x14ac:dyDescent="0.3">
      <c r="A350" s="12">
        <v>43974</v>
      </c>
      <c r="B350" s="7" t="s">
        <v>16</v>
      </c>
      <c r="C350" s="7">
        <v>36</v>
      </c>
      <c r="D350" s="7">
        <v>5651</v>
      </c>
      <c r="E350" s="7">
        <v>5212</v>
      </c>
    </row>
    <row r="351" spans="1:5" ht="14.25" customHeight="1" x14ac:dyDescent="0.3">
      <c r="A351" s="12">
        <v>43974</v>
      </c>
      <c r="B351" s="7" t="s">
        <v>11</v>
      </c>
      <c r="C351" s="7">
        <v>31</v>
      </c>
      <c r="D351" s="7">
        <v>6276</v>
      </c>
      <c r="E351" s="7">
        <v>5801</v>
      </c>
    </row>
    <row r="352" spans="1:5" ht="14.25" customHeight="1" x14ac:dyDescent="0.3">
      <c r="A352" s="12">
        <v>43974</v>
      </c>
      <c r="B352" s="7" t="s">
        <v>17</v>
      </c>
      <c r="C352" s="7">
        <v>21</v>
      </c>
      <c r="D352" s="7">
        <v>2460</v>
      </c>
      <c r="E352" s="7">
        <v>2226</v>
      </c>
    </row>
    <row r="353" spans="1:5" ht="14.25" customHeight="1" x14ac:dyDescent="0.3">
      <c r="A353" s="12">
        <v>43974</v>
      </c>
      <c r="B353" s="7" t="s">
        <v>10</v>
      </c>
      <c r="C353" s="7">
        <v>21</v>
      </c>
      <c r="D353" s="7">
        <v>2340</v>
      </c>
      <c r="E353" s="7">
        <v>2146</v>
      </c>
    </row>
    <row r="354" spans="1:5" ht="14.25" customHeight="1" x14ac:dyDescent="0.3">
      <c r="A354" s="12">
        <v>43974</v>
      </c>
      <c r="B354" s="7" t="s">
        <v>20</v>
      </c>
      <c r="C354" s="7">
        <v>19</v>
      </c>
      <c r="D354" s="7">
        <v>2195</v>
      </c>
      <c r="E354" s="7">
        <v>1999</v>
      </c>
    </row>
    <row r="355" spans="1:5" ht="14.25" customHeight="1" x14ac:dyDescent="0.3">
      <c r="A355" s="12">
        <v>43974</v>
      </c>
      <c r="B355" s="7" t="s">
        <v>22</v>
      </c>
      <c r="C355" s="7">
        <v>54</v>
      </c>
      <c r="D355" s="7">
        <v>16221</v>
      </c>
      <c r="E355" s="7">
        <v>15065</v>
      </c>
    </row>
    <row r="356" spans="1:5" ht="14.25" customHeight="1" x14ac:dyDescent="0.3">
      <c r="A356" s="12">
        <v>43974</v>
      </c>
      <c r="B356" s="7" t="s">
        <v>21</v>
      </c>
      <c r="C356" s="7">
        <v>60</v>
      </c>
      <c r="D356" s="7">
        <v>17295</v>
      </c>
      <c r="E356" s="7">
        <v>16010</v>
      </c>
    </row>
    <row r="357" spans="1:5" ht="14.25" customHeight="1" x14ac:dyDescent="0.3">
      <c r="A357" s="12">
        <v>43974</v>
      </c>
      <c r="B357" s="7" t="s">
        <v>13</v>
      </c>
      <c r="C357" s="7">
        <v>20</v>
      </c>
      <c r="D357" s="7">
        <v>2266</v>
      </c>
      <c r="E357" s="7">
        <v>1993</v>
      </c>
    </row>
    <row r="358" spans="1:5" ht="14.25" customHeight="1" x14ac:dyDescent="0.3">
      <c r="A358" s="12">
        <v>43974</v>
      </c>
      <c r="B358" s="7" t="s">
        <v>23</v>
      </c>
      <c r="C358" s="7">
        <v>18</v>
      </c>
      <c r="D358" s="7">
        <v>1031</v>
      </c>
      <c r="E358" s="7">
        <v>918</v>
      </c>
    </row>
    <row r="359" spans="1:5" ht="14.25" customHeight="1" x14ac:dyDescent="0.3">
      <c r="A359" s="12">
        <v>43974</v>
      </c>
      <c r="B359" s="7" t="s">
        <v>18</v>
      </c>
      <c r="C359" s="7">
        <v>17</v>
      </c>
      <c r="D359" s="7">
        <v>1294</v>
      </c>
      <c r="E359" s="7">
        <v>1155</v>
      </c>
    </row>
    <row r="360" spans="1:5" ht="14.25" customHeight="1" x14ac:dyDescent="0.3">
      <c r="A360" s="12">
        <v>43974</v>
      </c>
      <c r="B360" s="7" t="s">
        <v>19</v>
      </c>
      <c r="C360" s="7">
        <v>15</v>
      </c>
      <c r="D360" s="7">
        <v>840</v>
      </c>
      <c r="E360" s="7">
        <v>725</v>
      </c>
    </row>
    <row r="361" spans="1:5" ht="14.25" customHeight="1" x14ac:dyDescent="0.3">
      <c r="A361" s="12">
        <v>43974</v>
      </c>
      <c r="B361" s="7" t="s">
        <v>15</v>
      </c>
      <c r="C361" s="7">
        <v>125</v>
      </c>
      <c r="D361" s="7">
        <v>24574</v>
      </c>
      <c r="E361" s="7">
        <v>22609</v>
      </c>
    </row>
    <row r="362" spans="1:5" ht="14.25" customHeight="1" x14ac:dyDescent="0.3">
      <c r="A362" s="12">
        <v>43974</v>
      </c>
      <c r="B362" s="7" t="s">
        <v>14</v>
      </c>
      <c r="C362" s="7">
        <v>129</v>
      </c>
      <c r="D362" s="7">
        <v>19856</v>
      </c>
      <c r="E362" s="7">
        <v>18325</v>
      </c>
    </row>
    <row r="363" spans="1:5" ht="14.25" customHeight="1" x14ac:dyDescent="0.3">
      <c r="A363" s="12">
        <v>43974</v>
      </c>
      <c r="B363" s="7" t="s">
        <v>12</v>
      </c>
      <c r="C363" s="7">
        <v>10</v>
      </c>
      <c r="D363" s="7">
        <v>828</v>
      </c>
      <c r="E363" s="7">
        <v>734</v>
      </c>
    </row>
    <row r="364" spans="1:5" ht="14.25" customHeight="1" x14ac:dyDescent="0.3">
      <c r="A364" s="12">
        <v>43975</v>
      </c>
      <c r="B364" s="7" t="s">
        <v>16</v>
      </c>
      <c r="C364" s="7">
        <v>36</v>
      </c>
      <c r="D364" s="7">
        <v>4915</v>
      </c>
      <c r="E364" s="7">
        <v>4562</v>
      </c>
    </row>
    <row r="365" spans="1:5" ht="14.25" customHeight="1" x14ac:dyDescent="0.3">
      <c r="A365" s="12">
        <v>43975</v>
      </c>
      <c r="B365" s="7" t="s">
        <v>11</v>
      </c>
      <c r="C365" s="7">
        <v>31</v>
      </c>
      <c r="D365" s="7">
        <v>5035</v>
      </c>
      <c r="E365" s="7">
        <v>4683</v>
      </c>
    </row>
    <row r="366" spans="1:5" ht="14.25" customHeight="1" x14ac:dyDescent="0.3">
      <c r="A366" s="12">
        <v>43975</v>
      </c>
      <c r="B366" s="7" t="s">
        <v>17</v>
      </c>
      <c r="C366" s="7">
        <v>21</v>
      </c>
      <c r="D366" s="7">
        <v>2254</v>
      </c>
      <c r="E366" s="7">
        <v>2061</v>
      </c>
    </row>
    <row r="367" spans="1:5" ht="14.25" customHeight="1" x14ac:dyDescent="0.3">
      <c r="A367" s="12">
        <v>43975</v>
      </c>
      <c r="B367" s="7" t="s">
        <v>10</v>
      </c>
      <c r="C367" s="7">
        <v>20</v>
      </c>
      <c r="D367" s="7">
        <v>1999</v>
      </c>
      <c r="E367" s="7">
        <v>1829</v>
      </c>
    </row>
    <row r="368" spans="1:5" ht="14.25" customHeight="1" x14ac:dyDescent="0.3">
      <c r="A368" s="12">
        <v>43975</v>
      </c>
      <c r="B368" s="7" t="s">
        <v>20</v>
      </c>
      <c r="C368" s="7">
        <v>19</v>
      </c>
      <c r="D368" s="7">
        <v>1868</v>
      </c>
      <c r="E368" s="7">
        <v>1706</v>
      </c>
    </row>
    <row r="369" spans="1:5" ht="14.25" customHeight="1" x14ac:dyDescent="0.3">
      <c r="A369" s="12">
        <v>43975</v>
      </c>
      <c r="B369" s="7" t="s">
        <v>22</v>
      </c>
      <c r="C369" s="7">
        <v>54</v>
      </c>
      <c r="D369" s="7">
        <v>12211</v>
      </c>
      <c r="E369" s="7">
        <v>11427</v>
      </c>
    </row>
    <row r="370" spans="1:5" ht="14.25" customHeight="1" x14ac:dyDescent="0.3">
      <c r="A370" s="12">
        <v>43975</v>
      </c>
      <c r="B370" s="7" t="s">
        <v>21</v>
      </c>
      <c r="C370" s="7">
        <v>60</v>
      </c>
      <c r="D370" s="7">
        <v>12822</v>
      </c>
      <c r="E370" s="7">
        <v>11916</v>
      </c>
    </row>
    <row r="371" spans="1:5" ht="14.25" customHeight="1" x14ac:dyDescent="0.3">
      <c r="A371" s="12">
        <v>43975</v>
      </c>
      <c r="B371" s="7" t="s">
        <v>13</v>
      </c>
      <c r="C371" s="7">
        <v>20</v>
      </c>
      <c r="D371" s="7">
        <v>2015</v>
      </c>
      <c r="E371" s="7">
        <v>1803</v>
      </c>
    </row>
    <row r="372" spans="1:5" ht="14.25" customHeight="1" x14ac:dyDescent="0.3">
      <c r="A372" s="12">
        <v>43975</v>
      </c>
      <c r="B372" s="7" t="s">
        <v>23</v>
      </c>
      <c r="C372" s="7">
        <v>18</v>
      </c>
      <c r="D372" s="7">
        <v>1006</v>
      </c>
      <c r="E372" s="7">
        <v>904</v>
      </c>
    </row>
    <row r="373" spans="1:5" ht="14.25" customHeight="1" x14ac:dyDescent="0.3">
      <c r="A373" s="12">
        <v>43975</v>
      </c>
      <c r="B373" s="7" t="s">
        <v>18</v>
      </c>
      <c r="C373" s="7">
        <v>17</v>
      </c>
      <c r="D373" s="7">
        <v>1128</v>
      </c>
      <c r="E373" s="7">
        <v>1001</v>
      </c>
    </row>
    <row r="374" spans="1:5" ht="14.25" customHeight="1" x14ac:dyDescent="0.3">
      <c r="A374" s="12">
        <v>43975</v>
      </c>
      <c r="B374" s="7" t="s">
        <v>19</v>
      </c>
      <c r="C374" s="7">
        <v>15</v>
      </c>
      <c r="D374" s="7">
        <v>779</v>
      </c>
      <c r="E374" s="7">
        <v>673</v>
      </c>
    </row>
    <row r="375" spans="1:5" ht="14.25" customHeight="1" x14ac:dyDescent="0.3">
      <c r="A375" s="12">
        <v>43975</v>
      </c>
      <c r="B375" s="7" t="s">
        <v>15</v>
      </c>
      <c r="C375" s="7">
        <v>125</v>
      </c>
      <c r="D375" s="7">
        <v>21004</v>
      </c>
      <c r="E375" s="7">
        <v>19556</v>
      </c>
    </row>
    <row r="376" spans="1:5" ht="14.25" customHeight="1" x14ac:dyDescent="0.3">
      <c r="A376" s="12">
        <v>43975</v>
      </c>
      <c r="B376" s="7" t="s">
        <v>14</v>
      </c>
      <c r="C376" s="7">
        <v>129</v>
      </c>
      <c r="D376" s="7">
        <v>16432</v>
      </c>
      <c r="E376" s="7">
        <v>15345</v>
      </c>
    </row>
    <row r="377" spans="1:5" ht="14.25" customHeight="1" x14ac:dyDescent="0.3">
      <c r="A377" s="12">
        <v>43975</v>
      </c>
      <c r="B377" s="7" t="s">
        <v>12</v>
      </c>
      <c r="C377" s="7">
        <v>10</v>
      </c>
      <c r="D377" s="7">
        <v>639</v>
      </c>
      <c r="E377" s="7">
        <v>557</v>
      </c>
    </row>
    <row r="378" spans="1:5" ht="14.25" customHeight="1" x14ac:dyDescent="0.3">
      <c r="A378" s="12">
        <v>43976</v>
      </c>
      <c r="B378" s="7" t="s">
        <v>16</v>
      </c>
      <c r="C378" s="7">
        <v>36</v>
      </c>
      <c r="D378" s="7">
        <v>4641</v>
      </c>
      <c r="E378" s="7">
        <v>4274</v>
      </c>
    </row>
    <row r="379" spans="1:5" ht="14.25" customHeight="1" x14ac:dyDescent="0.3">
      <c r="A379" s="12">
        <v>43976</v>
      </c>
      <c r="B379" s="7" t="s">
        <v>11</v>
      </c>
      <c r="C379" s="7">
        <v>31</v>
      </c>
      <c r="D379" s="7">
        <v>5210</v>
      </c>
      <c r="E379" s="7">
        <v>4841</v>
      </c>
    </row>
    <row r="380" spans="1:5" ht="14.25" customHeight="1" x14ac:dyDescent="0.3">
      <c r="A380" s="12">
        <v>43976</v>
      </c>
      <c r="B380" s="7" t="s">
        <v>17</v>
      </c>
      <c r="C380" s="7">
        <v>21</v>
      </c>
      <c r="D380" s="7">
        <v>2330</v>
      </c>
      <c r="E380" s="7">
        <v>2142</v>
      </c>
    </row>
    <row r="381" spans="1:5" ht="14.25" customHeight="1" x14ac:dyDescent="0.3">
      <c r="A381" s="12">
        <v>43976</v>
      </c>
      <c r="B381" s="7" t="s">
        <v>10</v>
      </c>
      <c r="C381" s="7">
        <v>20</v>
      </c>
      <c r="D381" s="7">
        <v>2087</v>
      </c>
      <c r="E381" s="7">
        <v>1914</v>
      </c>
    </row>
    <row r="382" spans="1:5" ht="14.25" customHeight="1" x14ac:dyDescent="0.3">
      <c r="A382" s="12">
        <v>43976</v>
      </c>
      <c r="B382" s="7" t="s">
        <v>20</v>
      </c>
      <c r="C382" s="7">
        <v>20</v>
      </c>
      <c r="D382" s="7">
        <v>1899</v>
      </c>
      <c r="E382" s="7">
        <v>1738</v>
      </c>
    </row>
    <row r="383" spans="1:5" ht="14.25" customHeight="1" x14ac:dyDescent="0.3">
      <c r="A383" s="12">
        <v>43976</v>
      </c>
      <c r="B383" s="7" t="s">
        <v>22</v>
      </c>
      <c r="C383" s="7">
        <v>54</v>
      </c>
      <c r="D383" s="7">
        <v>12336</v>
      </c>
      <c r="E383" s="7">
        <v>11519</v>
      </c>
    </row>
    <row r="384" spans="1:5" ht="14.25" customHeight="1" x14ac:dyDescent="0.3">
      <c r="A384" s="12">
        <v>43976</v>
      </c>
      <c r="B384" s="7" t="s">
        <v>21</v>
      </c>
      <c r="C384" s="7">
        <v>59</v>
      </c>
      <c r="D384" s="7">
        <v>12983</v>
      </c>
      <c r="E384" s="7">
        <v>12056</v>
      </c>
    </row>
    <row r="385" spans="1:5" ht="14.25" customHeight="1" x14ac:dyDescent="0.3">
      <c r="A385" s="12">
        <v>43976</v>
      </c>
      <c r="B385" s="7" t="s">
        <v>13</v>
      </c>
      <c r="C385" s="7">
        <v>20</v>
      </c>
      <c r="D385" s="7">
        <v>2011</v>
      </c>
      <c r="E385" s="7">
        <v>1791</v>
      </c>
    </row>
    <row r="386" spans="1:5" ht="14.25" customHeight="1" x14ac:dyDescent="0.3">
      <c r="A386" s="12">
        <v>43976</v>
      </c>
      <c r="B386" s="7" t="s">
        <v>23</v>
      </c>
      <c r="C386" s="7">
        <v>18</v>
      </c>
      <c r="D386" s="7">
        <v>989</v>
      </c>
      <c r="E386" s="7">
        <v>887</v>
      </c>
    </row>
    <row r="387" spans="1:5" ht="14.25" customHeight="1" x14ac:dyDescent="0.3">
      <c r="A387" s="12">
        <v>43976</v>
      </c>
      <c r="B387" s="7" t="s">
        <v>18</v>
      </c>
      <c r="C387" s="7">
        <v>17</v>
      </c>
      <c r="D387" s="7">
        <v>1142</v>
      </c>
      <c r="E387" s="7">
        <v>1020</v>
      </c>
    </row>
    <row r="388" spans="1:5" ht="14.25" customHeight="1" x14ac:dyDescent="0.3">
      <c r="A388" s="12">
        <v>43976</v>
      </c>
      <c r="B388" s="7" t="s">
        <v>19</v>
      </c>
      <c r="C388" s="7">
        <v>15</v>
      </c>
      <c r="D388" s="7">
        <v>835</v>
      </c>
      <c r="E388" s="7">
        <v>736</v>
      </c>
    </row>
    <row r="389" spans="1:5" ht="14.25" customHeight="1" x14ac:dyDescent="0.3">
      <c r="A389" s="12">
        <v>43976</v>
      </c>
      <c r="B389" s="7" t="s">
        <v>15</v>
      </c>
      <c r="C389" s="7">
        <v>124</v>
      </c>
      <c r="D389" s="7">
        <v>20358</v>
      </c>
      <c r="E389" s="7">
        <v>18890</v>
      </c>
    </row>
    <row r="390" spans="1:5" ht="14.25" customHeight="1" x14ac:dyDescent="0.3">
      <c r="A390" s="12">
        <v>43976</v>
      </c>
      <c r="B390" s="7" t="s">
        <v>14</v>
      </c>
      <c r="C390" s="7">
        <v>129</v>
      </c>
      <c r="D390" s="7">
        <v>15822</v>
      </c>
      <c r="E390" s="7">
        <v>14753</v>
      </c>
    </row>
    <row r="391" spans="1:5" ht="14.25" customHeight="1" x14ac:dyDescent="0.3">
      <c r="A391" s="12">
        <v>43976</v>
      </c>
      <c r="B391" s="7" t="s">
        <v>12</v>
      </c>
      <c r="C391" s="7">
        <v>10</v>
      </c>
      <c r="D391" s="7">
        <v>739</v>
      </c>
      <c r="E391" s="7">
        <v>642</v>
      </c>
    </row>
    <row r="392" spans="1:5" ht="14.25" customHeight="1" x14ac:dyDescent="0.3">
      <c r="A392" s="12">
        <v>43977</v>
      </c>
      <c r="B392" s="7" t="s">
        <v>16</v>
      </c>
      <c r="C392" s="7">
        <v>36</v>
      </c>
      <c r="D392" s="7">
        <v>4770</v>
      </c>
      <c r="E392" s="7">
        <v>4424</v>
      </c>
    </row>
    <row r="393" spans="1:5" ht="14.25" customHeight="1" x14ac:dyDescent="0.3">
      <c r="A393" s="12">
        <v>43977</v>
      </c>
      <c r="B393" s="7" t="s">
        <v>11</v>
      </c>
      <c r="C393" s="7">
        <v>31</v>
      </c>
      <c r="D393" s="7">
        <v>5493</v>
      </c>
      <c r="E393" s="7">
        <v>5119</v>
      </c>
    </row>
    <row r="394" spans="1:5" ht="14.25" customHeight="1" x14ac:dyDescent="0.3">
      <c r="A394" s="12">
        <v>43977</v>
      </c>
      <c r="B394" s="7" t="s">
        <v>17</v>
      </c>
      <c r="C394" s="7">
        <v>21</v>
      </c>
      <c r="D394" s="7">
        <v>2418</v>
      </c>
      <c r="E394" s="7">
        <v>2215</v>
      </c>
    </row>
    <row r="395" spans="1:5" ht="14.25" customHeight="1" x14ac:dyDescent="0.3">
      <c r="A395" s="12">
        <v>43977</v>
      </c>
      <c r="B395" s="7" t="s">
        <v>10</v>
      </c>
      <c r="C395" s="7">
        <v>20</v>
      </c>
      <c r="D395" s="7">
        <v>2044</v>
      </c>
      <c r="E395" s="7">
        <v>1863</v>
      </c>
    </row>
    <row r="396" spans="1:5" ht="14.25" customHeight="1" x14ac:dyDescent="0.3">
      <c r="A396" s="12">
        <v>43977</v>
      </c>
      <c r="B396" s="7" t="s">
        <v>20</v>
      </c>
      <c r="C396" s="7">
        <v>20</v>
      </c>
      <c r="D396" s="7">
        <v>1814</v>
      </c>
      <c r="E396" s="7">
        <v>1655</v>
      </c>
    </row>
    <row r="397" spans="1:5" ht="14.25" customHeight="1" x14ac:dyDescent="0.3">
      <c r="A397" s="12">
        <v>43977</v>
      </c>
      <c r="B397" s="7" t="s">
        <v>22</v>
      </c>
      <c r="C397" s="7">
        <v>54</v>
      </c>
      <c r="D397" s="7">
        <v>14482</v>
      </c>
      <c r="E397" s="7">
        <v>13510</v>
      </c>
    </row>
    <row r="398" spans="1:5" ht="14.25" customHeight="1" x14ac:dyDescent="0.3">
      <c r="A398" s="12">
        <v>43977</v>
      </c>
      <c r="B398" s="7" t="s">
        <v>21</v>
      </c>
      <c r="C398" s="7">
        <v>59</v>
      </c>
      <c r="D398" s="7">
        <v>15369</v>
      </c>
      <c r="E398" s="7">
        <v>14299</v>
      </c>
    </row>
    <row r="399" spans="1:5" ht="14.25" customHeight="1" x14ac:dyDescent="0.3">
      <c r="A399" s="12">
        <v>43977</v>
      </c>
      <c r="B399" s="7" t="s">
        <v>13</v>
      </c>
      <c r="C399" s="7">
        <v>20</v>
      </c>
      <c r="D399" s="7">
        <v>2036</v>
      </c>
      <c r="E399" s="7">
        <v>1790</v>
      </c>
    </row>
    <row r="400" spans="1:5" ht="14.25" customHeight="1" x14ac:dyDescent="0.3">
      <c r="A400" s="12">
        <v>43977</v>
      </c>
      <c r="B400" s="7" t="s">
        <v>23</v>
      </c>
      <c r="C400" s="7">
        <v>18</v>
      </c>
      <c r="D400" s="7">
        <v>914</v>
      </c>
      <c r="E400" s="7">
        <v>804</v>
      </c>
    </row>
    <row r="401" spans="1:5" ht="14.25" customHeight="1" x14ac:dyDescent="0.3">
      <c r="A401" s="12">
        <v>43977</v>
      </c>
      <c r="B401" s="7" t="s">
        <v>18</v>
      </c>
      <c r="C401" s="7">
        <v>17</v>
      </c>
      <c r="D401" s="7">
        <v>1140</v>
      </c>
      <c r="E401" s="7">
        <v>1016</v>
      </c>
    </row>
    <row r="402" spans="1:5" ht="14.25" customHeight="1" x14ac:dyDescent="0.3">
      <c r="A402" s="12">
        <v>43977</v>
      </c>
      <c r="B402" s="7" t="s">
        <v>19</v>
      </c>
      <c r="C402" s="7">
        <v>15</v>
      </c>
      <c r="D402" s="7">
        <v>812</v>
      </c>
      <c r="E402" s="7">
        <v>711</v>
      </c>
    </row>
    <row r="403" spans="1:5" ht="14.25" customHeight="1" x14ac:dyDescent="0.3">
      <c r="A403" s="12">
        <v>43977</v>
      </c>
      <c r="B403" s="7" t="s">
        <v>15</v>
      </c>
      <c r="C403" s="7">
        <v>124</v>
      </c>
      <c r="D403" s="7">
        <v>21153</v>
      </c>
      <c r="E403" s="7">
        <v>19673</v>
      </c>
    </row>
    <row r="404" spans="1:5" ht="14.25" customHeight="1" x14ac:dyDescent="0.3">
      <c r="A404" s="12">
        <v>43977</v>
      </c>
      <c r="B404" s="7" t="s">
        <v>14</v>
      </c>
      <c r="C404" s="7">
        <v>129</v>
      </c>
      <c r="D404" s="7">
        <v>16459</v>
      </c>
      <c r="E404" s="7">
        <v>15355</v>
      </c>
    </row>
    <row r="405" spans="1:5" ht="14.25" customHeight="1" x14ac:dyDescent="0.3">
      <c r="A405" s="12">
        <v>43977</v>
      </c>
      <c r="B405" s="7" t="s">
        <v>12</v>
      </c>
      <c r="C405" s="7">
        <v>10</v>
      </c>
      <c r="D405" s="7">
        <v>692</v>
      </c>
      <c r="E405" s="7">
        <v>601</v>
      </c>
    </row>
    <row r="406" spans="1:5" ht="14.25" customHeight="1" x14ac:dyDescent="0.3">
      <c r="A406" s="12">
        <v>43977</v>
      </c>
      <c r="B406" s="7" t="s">
        <v>24</v>
      </c>
      <c r="C406" s="7">
        <v>7</v>
      </c>
      <c r="D406" s="7">
        <v>577</v>
      </c>
      <c r="E406" s="7">
        <v>389</v>
      </c>
    </row>
    <row r="407" spans="1:5" ht="14.25" customHeight="1" x14ac:dyDescent="0.3">
      <c r="A407" s="12">
        <v>43978</v>
      </c>
      <c r="B407" s="7" t="s">
        <v>16</v>
      </c>
      <c r="C407" s="7">
        <v>36</v>
      </c>
      <c r="D407" s="7">
        <v>4951</v>
      </c>
      <c r="E407" s="7">
        <v>4584</v>
      </c>
    </row>
    <row r="408" spans="1:5" ht="14.25" customHeight="1" x14ac:dyDescent="0.3">
      <c r="A408" s="12">
        <v>43978</v>
      </c>
      <c r="B408" s="7" t="s">
        <v>11</v>
      </c>
      <c r="C408" s="7">
        <v>31</v>
      </c>
      <c r="D408" s="7">
        <v>5330</v>
      </c>
      <c r="E408" s="7">
        <v>4977</v>
      </c>
    </row>
    <row r="409" spans="1:5" ht="14.25" customHeight="1" x14ac:dyDescent="0.3">
      <c r="A409" s="12">
        <v>43978</v>
      </c>
      <c r="B409" s="7" t="s">
        <v>17</v>
      </c>
      <c r="C409" s="7">
        <v>21</v>
      </c>
      <c r="D409" s="7">
        <v>2430</v>
      </c>
      <c r="E409" s="7">
        <v>2216</v>
      </c>
    </row>
    <row r="410" spans="1:5" ht="14.25" customHeight="1" x14ac:dyDescent="0.3">
      <c r="A410" s="12">
        <v>43978</v>
      </c>
      <c r="B410" s="7" t="s">
        <v>10</v>
      </c>
      <c r="C410" s="7">
        <v>20</v>
      </c>
      <c r="D410" s="7">
        <v>2079</v>
      </c>
      <c r="E410" s="7">
        <v>1893</v>
      </c>
    </row>
    <row r="411" spans="1:5" ht="14.25" customHeight="1" x14ac:dyDescent="0.3">
      <c r="A411" s="12">
        <v>43978</v>
      </c>
      <c r="B411" s="7" t="s">
        <v>20</v>
      </c>
      <c r="C411" s="7">
        <v>20</v>
      </c>
      <c r="D411" s="7">
        <v>1873</v>
      </c>
      <c r="E411" s="7">
        <v>1715</v>
      </c>
    </row>
    <row r="412" spans="1:5" ht="14.25" customHeight="1" x14ac:dyDescent="0.3">
      <c r="A412" s="12">
        <v>43978</v>
      </c>
      <c r="B412" s="7" t="s">
        <v>22</v>
      </c>
      <c r="C412" s="7">
        <v>54</v>
      </c>
      <c r="D412" s="7">
        <v>13091</v>
      </c>
      <c r="E412" s="7">
        <v>12216</v>
      </c>
    </row>
    <row r="413" spans="1:5" ht="14.25" customHeight="1" x14ac:dyDescent="0.3">
      <c r="A413" s="12">
        <v>43978</v>
      </c>
      <c r="B413" s="7" t="s">
        <v>21</v>
      </c>
      <c r="C413" s="7">
        <v>59</v>
      </c>
      <c r="D413" s="7">
        <v>13942</v>
      </c>
      <c r="E413" s="7">
        <v>12986</v>
      </c>
    </row>
    <row r="414" spans="1:5" ht="14.25" customHeight="1" x14ac:dyDescent="0.3">
      <c r="A414" s="12">
        <v>43978</v>
      </c>
      <c r="B414" s="7" t="s">
        <v>13</v>
      </c>
      <c r="C414" s="7">
        <v>20</v>
      </c>
      <c r="D414" s="7">
        <v>2079</v>
      </c>
      <c r="E414" s="7">
        <v>1856</v>
      </c>
    </row>
    <row r="415" spans="1:5" ht="14.25" customHeight="1" x14ac:dyDescent="0.3">
      <c r="A415" s="12">
        <v>43978</v>
      </c>
      <c r="B415" s="7" t="s">
        <v>23</v>
      </c>
      <c r="C415" s="7">
        <v>18</v>
      </c>
      <c r="D415" s="7">
        <v>962</v>
      </c>
      <c r="E415" s="7">
        <v>859</v>
      </c>
    </row>
    <row r="416" spans="1:5" ht="14.25" customHeight="1" x14ac:dyDescent="0.3">
      <c r="A416" s="12">
        <v>43978</v>
      </c>
      <c r="B416" s="7" t="s">
        <v>18</v>
      </c>
      <c r="C416" s="7">
        <v>17</v>
      </c>
      <c r="D416" s="7">
        <v>1203</v>
      </c>
      <c r="E416" s="7">
        <v>1077</v>
      </c>
    </row>
    <row r="417" spans="1:5" ht="14.25" customHeight="1" x14ac:dyDescent="0.3">
      <c r="A417" s="12">
        <v>43978</v>
      </c>
      <c r="B417" s="7" t="s">
        <v>19</v>
      </c>
      <c r="C417" s="7">
        <v>15</v>
      </c>
      <c r="D417" s="7">
        <v>809</v>
      </c>
      <c r="E417" s="7">
        <v>702</v>
      </c>
    </row>
    <row r="418" spans="1:5" ht="14.25" customHeight="1" x14ac:dyDescent="0.3">
      <c r="A418" s="12">
        <v>43978</v>
      </c>
      <c r="B418" s="7" t="s">
        <v>15</v>
      </c>
      <c r="C418" s="7">
        <v>124</v>
      </c>
      <c r="D418" s="7">
        <v>21384</v>
      </c>
      <c r="E418" s="7">
        <v>19897</v>
      </c>
    </row>
    <row r="419" spans="1:5" ht="14.25" customHeight="1" x14ac:dyDescent="0.3">
      <c r="A419" s="12">
        <v>43978</v>
      </c>
      <c r="B419" s="7" t="s">
        <v>14</v>
      </c>
      <c r="C419" s="7">
        <v>129</v>
      </c>
      <c r="D419" s="7">
        <v>17115</v>
      </c>
      <c r="E419" s="7">
        <v>15962</v>
      </c>
    </row>
    <row r="420" spans="1:5" ht="14.25" customHeight="1" x14ac:dyDescent="0.3">
      <c r="A420" s="12">
        <v>43978</v>
      </c>
      <c r="B420" s="7" t="s">
        <v>12</v>
      </c>
      <c r="C420" s="7">
        <v>10</v>
      </c>
      <c r="D420" s="7">
        <v>757</v>
      </c>
      <c r="E420" s="7">
        <v>660</v>
      </c>
    </row>
    <row r="421" spans="1:5" ht="14.25" customHeight="1" x14ac:dyDescent="0.3">
      <c r="A421" s="12">
        <v>43978</v>
      </c>
      <c r="B421" s="7" t="s">
        <v>24</v>
      </c>
      <c r="C421" s="7">
        <v>7</v>
      </c>
      <c r="D421" s="7">
        <v>409</v>
      </c>
      <c r="E421" s="7">
        <v>329</v>
      </c>
    </row>
    <row r="422" spans="1:5" ht="14.25" customHeight="1" x14ac:dyDescent="0.3">
      <c r="A422" s="12">
        <v>43979</v>
      </c>
      <c r="B422" s="7" t="s">
        <v>16</v>
      </c>
      <c r="C422" s="7">
        <v>37</v>
      </c>
      <c r="D422" s="7">
        <v>4840</v>
      </c>
      <c r="E422" s="7">
        <v>4475</v>
      </c>
    </row>
    <row r="423" spans="1:5" ht="14.25" customHeight="1" x14ac:dyDescent="0.3">
      <c r="A423" s="12">
        <v>43979</v>
      </c>
      <c r="B423" s="7" t="s">
        <v>11</v>
      </c>
      <c r="C423" s="7">
        <v>31</v>
      </c>
      <c r="D423" s="7">
        <v>5355</v>
      </c>
      <c r="E423" s="7">
        <v>4969</v>
      </c>
    </row>
    <row r="424" spans="1:5" ht="14.25" customHeight="1" x14ac:dyDescent="0.3">
      <c r="A424" s="12">
        <v>43979</v>
      </c>
      <c r="B424" s="7" t="s">
        <v>17</v>
      </c>
      <c r="C424" s="7">
        <v>22</v>
      </c>
      <c r="D424" s="7">
        <v>2454</v>
      </c>
      <c r="E424" s="7">
        <v>2239</v>
      </c>
    </row>
    <row r="425" spans="1:5" ht="14.25" customHeight="1" x14ac:dyDescent="0.3">
      <c r="A425" s="12">
        <v>43979</v>
      </c>
      <c r="B425" s="7" t="s">
        <v>10</v>
      </c>
      <c r="C425" s="7">
        <v>20</v>
      </c>
      <c r="D425" s="7">
        <v>1886</v>
      </c>
      <c r="E425" s="7">
        <v>1736</v>
      </c>
    </row>
    <row r="426" spans="1:5" ht="14.25" customHeight="1" x14ac:dyDescent="0.3">
      <c r="A426" s="12">
        <v>43979</v>
      </c>
      <c r="B426" s="7" t="s">
        <v>20</v>
      </c>
      <c r="C426" s="7">
        <v>20</v>
      </c>
      <c r="D426" s="7">
        <v>1875</v>
      </c>
      <c r="E426" s="7">
        <v>1701</v>
      </c>
    </row>
    <row r="427" spans="1:5" ht="14.25" customHeight="1" x14ac:dyDescent="0.3">
      <c r="A427" s="12">
        <v>43979</v>
      </c>
      <c r="B427" s="7" t="s">
        <v>22</v>
      </c>
      <c r="C427" s="7">
        <v>54</v>
      </c>
      <c r="D427" s="7">
        <v>12409</v>
      </c>
      <c r="E427" s="7">
        <v>11582</v>
      </c>
    </row>
    <row r="428" spans="1:5" ht="14.25" customHeight="1" x14ac:dyDescent="0.3">
      <c r="A428" s="12">
        <v>43979</v>
      </c>
      <c r="B428" s="7" t="s">
        <v>21</v>
      </c>
      <c r="C428" s="7">
        <v>60</v>
      </c>
      <c r="D428" s="7">
        <v>12854</v>
      </c>
      <c r="E428" s="7">
        <v>11954</v>
      </c>
    </row>
    <row r="429" spans="1:5" ht="14.25" customHeight="1" x14ac:dyDescent="0.3">
      <c r="A429" s="12">
        <v>43979</v>
      </c>
      <c r="B429" s="7" t="s">
        <v>13</v>
      </c>
      <c r="C429" s="7">
        <v>20</v>
      </c>
      <c r="D429" s="7">
        <v>2088</v>
      </c>
      <c r="E429" s="7">
        <v>1848</v>
      </c>
    </row>
    <row r="430" spans="1:5" ht="14.25" customHeight="1" x14ac:dyDescent="0.3">
      <c r="A430" s="12">
        <v>43979</v>
      </c>
      <c r="B430" s="7" t="s">
        <v>23</v>
      </c>
      <c r="C430" s="7">
        <v>18</v>
      </c>
      <c r="D430" s="7">
        <v>1020</v>
      </c>
      <c r="E430" s="7">
        <v>911</v>
      </c>
    </row>
    <row r="431" spans="1:5" ht="14.25" customHeight="1" x14ac:dyDescent="0.3">
      <c r="A431" s="12">
        <v>43979</v>
      </c>
      <c r="B431" s="7" t="s">
        <v>18</v>
      </c>
      <c r="C431" s="7">
        <v>17</v>
      </c>
      <c r="D431" s="7">
        <v>1097</v>
      </c>
      <c r="E431" s="7">
        <v>968</v>
      </c>
    </row>
    <row r="432" spans="1:5" ht="14.25" customHeight="1" x14ac:dyDescent="0.3">
      <c r="A432" s="12">
        <v>43979</v>
      </c>
      <c r="B432" s="7" t="s">
        <v>19</v>
      </c>
      <c r="C432" s="7">
        <v>16</v>
      </c>
      <c r="D432" s="7">
        <v>876</v>
      </c>
      <c r="E432" s="7">
        <v>762</v>
      </c>
    </row>
    <row r="433" spans="1:5" ht="14.25" customHeight="1" x14ac:dyDescent="0.3">
      <c r="A433" s="12">
        <v>43979</v>
      </c>
      <c r="B433" s="7" t="s">
        <v>9</v>
      </c>
      <c r="C433" s="7">
        <v>15</v>
      </c>
      <c r="D433" s="7">
        <v>464</v>
      </c>
      <c r="E433" s="7">
        <v>390</v>
      </c>
    </row>
    <row r="434" spans="1:5" ht="14.25" customHeight="1" x14ac:dyDescent="0.3">
      <c r="A434" s="12">
        <v>43979</v>
      </c>
      <c r="B434" s="7" t="s">
        <v>15</v>
      </c>
      <c r="C434" s="7">
        <v>124</v>
      </c>
      <c r="D434" s="7">
        <v>20868</v>
      </c>
      <c r="E434" s="7">
        <v>19342</v>
      </c>
    </row>
    <row r="435" spans="1:5" ht="14.25" customHeight="1" x14ac:dyDescent="0.3">
      <c r="A435" s="12">
        <v>43979</v>
      </c>
      <c r="B435" s="7" t="s">
        <v>14</v>
      </c>
      <c r="C435" s="7">
        <v>129</v>
      </c>
      <c r="D435" s="7">
        <v>16453</v>
      </c>
      <c r="E435" s="7">
        <v>15289</v>
      </c>
    </row>
    <row r="436" spans="1:5" ht="14.25" customHeight="1" x14ac:dyDescent="0.3">
      <c r="A436" s="12">
        <v>43979</v>
      </c>
      <c r="B436" s="7" t="s">
        <v>12</v>
      </c>
      <c r="C436" s="7">
        <v>10</v>
      </c>
      <c r="D436" s="7">
        <v>791</v>
      </c>
      <c r="E436" s="7">
        <v>697</v>
      </c>
    </row>
    <row r="437" spans="1:5" ht="14.25" customHeight="1" x14ac:dyDescent="0.3">
      <c r="A437" s="12">
        <v>43979</v>
      </c>
      <c r="B437" s="7" t="s">
        <v>24</v>
      </c>
      <c r="C437" s="7">
        <v>7</v>
      </c>
      <c r="D437" s="7">
        <v>420</v>
      </c>
      <c r="E437" s="7">
        <v>347</v>
      </c>
    </row>
    <row r="438" spans="1:5" ht="14.25" customHeight="1" x14ac:dyDescent="0.3">
      <c r="A438" s="12">
        <v>43980</v>
      </c>
      <c r="B438" s="7" t="s">
        <v>16</v>
      </c>
      <c r="C438" s="7">
        <v>37</v>
      </c>
      <c r="D438" s="7">
        <v>5672</v>
      </c>
      <c r="E438" s="7">
        <v>5198</v>
      </c>
    </row>
    <row r="439" spans="1:5" ht="14.25" customHeight="1" x14ac:dyDescent="0.3">
      <c r="A439" s="12">
        <v>43980</v>
      </c>
      <c r="B439" s="7" t="s">
        <v>11</v>
      </c>
      <c r="C439" s="7">
        <v>31</v>
      </c>
      <c r="D439" s="7">
        <v>5751</v>
      </c>
      <c r="E439" s="7">
        <v>5319</v>
      </c>
    </row>
    <row r="440" spans="1:5" ht="14.25" customHeight="1" x14ac:dyDescent="0.3">
      <c r="A440" s="12">
        <v>43980</v>
      </c>
      <c r="B440" s="7" t="s">
        <v>17</v>
      </c>
      <c r="C440" s="7">
        <v>22</v>
      </c>
      <c r="D440" s="7">
        <v>2597</v>
      </c>
      <c r="E440" s="7">
        <v>2379</v>
      </c>
    </row>
    <row r="441" spans="1:5" ht="14.25" customHeight="1" x14ac:dyDescent="0.3">
      <c r="A441" s="12">
        <v>43980</v>
      </c>
      <c r="B441" s="7" t="s">
        <v>10</v>
      </c>
      <c r="C441" s="7">
        <v>20</v>
      </c>
      <c r="D441" s="7">
        <v>2111</v>
      </c>
      <c r="E441" s="7">
        <v>1917</v>
      </c>
    </row>
    <row r="442" spans="1:5" ht="14.25" customHeight="1" x14ac:dyDescent="0.3">
      <c r="A442" s="12">
        <v>43980</v>
      </c>
      <c r="B442" s="7" t="s">
        <v>20</v>
      </c>
      <c r="C442" s="7">
        <v>20</v>
      </c>
      <c r="D442" s="7">
        <v>2064</v>
      </c>
      <c r="E442" s="7">
        <v>1896</v>
      </c>
    </row>
    <row r="443" spans="1:5" ht="14.25" customHeight="1" x14ac:dyDescent="0.3">
      <c r="A443" s="12">
        <v>43980</v>
      </c>
      <c r="B443" s="7" t="s">
        <v>22</v>
      </c>
      <c r="C443" s="7">
        <v>54</v>
      </c>
      <c r="D443" s="7">
        <v>14031</v>
      </c>
      <c r="E443" s="7">
        <v>12943</v>
      </c>
    </row>
    <row r="444" spans="1:5" ht="14.25" customHeight="1" x14ac:dyDescent="0.3">
      <c r="A444" s="12">
        <v>43980</v>
      </c>
      <c r="B444" s="7" t="s">
        <v>21</v>
      </c>
      <c r="C444" s="7">
        <v>59</v>
      </c>
      <c r="D444" s="7">
        <v>14507</v>
      </c>
      <c r="E444" s="7">
        <v>13386</v>
      </c>
    </row>
    <row r="445" spans="1:5" ht="14.25" customHeight="1" x14ac:dyDescent="0.3">
      <c r="A445" s="12">
        <v>43980</v>
      </c>
      <c r="B445" s="7" t="s">
        <v>13</v>
      </c>
      <c r="C445" s="7">
        <v>20</v>
      </c>
      <c r="D445" s="7">
        <v>2249</v>
      </c>
      <c r="E445" s="7">
        <v>2000</v>
      </c>
    </row>
    <row r="446" spans="1:5" ht="14.25" customHeight="1" x14ac:dyDescent="0.3">
      <c r="A446" s="12">
        <v>43980</v>
      </c>
      <c r="B446" s="7" t="s">
        <v>23</v>
      </c>
      <c r="C446" s="7">
        <v>18</v>
      </c>
      <c r="D446" s="7">
        <v>1014</v>
      </c>
      <c r="E446" s="7">
        <v>893</v>
      </c>
    </row>
    <row r="447" spans="1:5" ht="14.25" customHeight="1" x14ac:dyDescent="0.3">
      <c r="A447" s="12">
        <v>43980</v>
      </c>
      <c r="B447" s="7" t="s">
        <v>18</v>
      </c>
      <c r="C447" s="7">
        <v>17</v>
      </c>
      <c r="D447" s="7">
        <v>1296</v>
      </c>
      <c r="E447" s="7">
        <v>1153</v>
      </c>
    </row>
    <row r="448" spans="1:5" ht="14.25" customHeight="1" x14ac:dyDescent="0.3">
      <c r="A448" s="12">
        <v>43980</v>
      </c>
      <c r="B448" s="7" t="s">
        <v>19</v>
      </c>
      <c r="C448" s="7">
        <v>16</v>
      </c>
      <c r="D448" s="7">
        <v>981</v>
      </c>
      <c r="E448" s="7">
        <v>859</v>
      </c>
    </row>
    <row r="449" spans="1:5" ht="14.25" customHeight="1" x14ac:dyDescent="0.3">
      <c r="A449" s="12">
        <v>43980</v>
      </c>
      <c r="B449" s="7" t="s">
        <v>9</v>
      </c>
      <c r="C449" s="7">
        <v>15</v>
      </c>
      <c r="D449" s="7">
        <v>400</v>
      </c>
      <c r="E449" s="7">
        <v>329</v>
      </c>
    </row>
    <row r="450" spans="1:5" ht="14.25" customHeight="1" x14ac:dyDescent="0.3">
      <c r="A450" s="12">
        <v>43980</v>
      </c>
      <c r="B450" s="7" t="s">
        <v>15</v>
      </c>
      <c r="C450" s="7">
        <v>124</v>
      </c>
      <c r="D450" s="7">
        <v>25828</v>
      </c>
      <c r="E450" s="7">
        <v>23974</v>
      </c>
    </row>
    <row r="451" spans="1:5" ht="14.25" customHeight="1" x14ac:dyDescent="0.3">
      <c r="A451" s="12">
        <v>43980</v>
      </c>
      <c r="B451" s="7" t="s">
        <v>14</v>
      </c>
      <c r="C451" s="7">
        <v>129</v>
      </c>
      <c r="D451" s="7">
        <v>22403</v>
      </c>
      <c r="E451" s="7">
        <v>20676</v>
      </c>
    </row>
    <row r="452" spans="1:5" ht="14.25" customHeight="1" x14ac:dyDescent="0.3">
      <c r="A452" s="12">
        <v>43980</v>
      </c>
      <c r="B452" s="7" t="s">
        <v>12</v>
      </c>
      <c r="C452" s="7">
        <v>10</v>
      </c>
      <c r="D452" s="7">
        <v>873</v>
      </c>
      <c r="E452" s="7">
        <v>770</v>
      </c>
    </row>
    <row r="453" spans="1:5" ht="14.25" customHeight="1" x14ac:dyDescent="0.3">
      <c r="A453" s="12">
        <v>43980</v>
      </c>
      <c r="B453" s="7" t="s">
        <v>24</v>
      </c>
      <c r="C453" s="7">
        <v>7</v>
      </c>
      <c r="D453" s="7">
        <v>491</v>
      </c>
      <c r="E453" s="7">
        <v>411</v>
      </c>
    </row>
    <row r="454" spans="1:5" ht="14.25" customHeight="1" x14ac:dyDescent="0.3">
      <c r="A454" s="12">
        <v>43981</v>
      </c>
      <c r="B454" s="7" t="s">
        <v>16</v>
      </c>
      <c r="C454" s="7">
        <v>37</v>
      </c>
      <c r="D454" s="7">
        <v>6645</v>
      </c>
      <c r="E454" s="7">
        <v>6122</v>
      </c>
    </row>
    <row r="455" spans="1:5" ht="14.25" customHeight="1" x14ac:dyDescent="0.3">
      <c r="A455" s="12">
        <v>43981</v>
      </c>
      <c r="B455" s="7" t="s">
        <v>11</v>
      </c>
      <c r="C455" s="7">
        <v>31</v>
      </c>
      <c r="D455" s="7">
        <v>6735</v>
      </c>
      <c r="E455" s="7">
        <v>6264</v>
      </c>
    </row>
    <row r="456" spans="1:5" ht="14.25" customHeight="1" x14ac:dyDescent="0.3">
      <c r="A456" s="12">
        <v>43981</v>
      </c>
      <c r="B456" s="7" t="s">
        <v>17</v>
      </c>
      <c r="C456" s="7">
        <v>22</v>
      </c>
      <c r="D456" s="7">
        <v>2793</v>
      </c>
      <c r="E456" s="7">
        <v>2539</v>
      </c>
    </row>
    <row r="457" spans="1:5" ht="14.25" customHeight="1" x14ac:dyDescent="0.3">
      <c r="A457" s="12">
        <v>43981</v>
      </c>
      <c r="B457" s="7" t="s">
        <v>10</v>
      </c>
      <c r="C457" s="7">
        <v>20</v>
      </c>
      <c r="D457" s="7">
        <v>2597</v>
      </c>
      <c r="E457" s="7">
        <v>2376</v>
      </c>
    </row>
    <row r="458" spans="1:5" ht="14.25" customHeight="1" x14ac:dyDescent="0.3">
      <c r="A458" s="12">
        <v>43981</v>
      </c>
      <c r="B458" s="7" t="s">
        <v>20</v>
      </c>
      <c r="C458" s="7">
        <v>20</v>
      </c>
      <c r="D458" s="7">
        <v>2174</v>
      </c>
      <c r="E458" s="7">
        <v>1957</v>
      </c>
    </row>
    <row r="459" spans="1:5" ht="14.25" customHeight="1" x14ac:dyDescent="0.3">
      <c r="A459" s="12">
        <v>43981</v>
      </c>
      <c r="B459" s="7" t="s">
        <v>22</v>
      </c>
      <c r="C459" s="7">
        <v>54</v>
      </c>
      <c r="D459" s="7">
        <v>14590</v>
      </c>
      <c r="E459" s="7">
        <v>13551</v>
      </c>
    </row>
    <row r="460" spans="1:5" ht="14.25" customHeight="1" x14ac:dyDescent="0.3">
      <c r="A460" s="12">
        <v>43981</v>
      </c>
      <c r="B460" s="7" t="s">
        <v>21</v>
      </c>
      <c r="C460" s="7">
        <v>59</v>
      </c>
      <c r="D460" s="7">
        <v>15030</v>
      </c>
      <c r="E460" s="7">
        <v>13956</v>
      </c>
    </row>
    <row r="461" spans="1:5" ht="14.25" customHeight="1" x14ac:dyDescent="0.3">
      <c r="A461" s="12">
        <v>43981</v>
      </c>
      <c r="B461" s="7" t="s">
        <v>13</v>
      </c>
      <c r="C461" s="7">
        <v>20</v>
      </c>
      <c r="D461" s="7">
        <v>2451</v>
      </c>
      <c r="E461" s="7">
        <v>2178</v>
      </c>
    </row>
    <row r="462" spans="1:5" ht="14.25" customHeight="1" x14ac:dyDescent="0.3">
      <c r="A462" s="12">
        <v>43981</v>
      </c>
      <c r="B462" s="7" t="s">
        <v>23</v>
      </c>
      <c r="C462" s="7">
        <v>18</v>
      </c>
      <c r="D462" s="7">
        <v>1216</v>
      </c>
      <c r="E462" s="7">
        <v>1101</v>
      </c>
    </row>
    <row r="463" spans="1:5" ht="14.25" customHeight="1" x14ac:dyDescent="0.3">
      <c r="A463" s="12">
        <v>43981</v>
      </c>
      <c r="B463" s="7" t="s">
        <v>18</v>
      </c>
      <c r="C463" s="7">
        <v>17</v>
      </c>
      <c r="D463" s="7">
        <v>1697</v>
      </c>
      <c r="E463" s="7">
        <v>1499</v>
      </c>
    </row>
    <row r="464" spans="1:5" ht="14.25" customHeight="1" x14ac:dyDescent="0.3">
      <c r="A464" s="12">
        <v>43981</v>
      </c>
      <c r="B464" s="7" t="s">
        <v>19</v>
      </c>
      <c r="C464" s="7">
        <v>16</v>
      </c>
      <c r="D464" s="7">
        <v>1048</v>
      </c>
      <c r="E464" s="7">
        <v>918</v>
      </c>
    </row>
    <row r="465" spans="1:5" ht="14.25" customHeight="1" x14ac:dyDescent="0.3">
      <c r="A465" s="12">
        <v>43981</v>
      </c>
      <c r="B465" s="7" t="s">
        <v>9</v>
      </c>
      <c r="C465" s="7">
        <v>15</v>
      </c>
      <c r="D465" s="7">
        <v>490</v>
      </c>
      <c r="E465" s="7">
        <v>409</v>
      </c>
    </row>
    <row r="466" spans="1:5" ht="14.25" customHeight="1" x14ac:dyDescent="0.3">
      <c r="A466" s="12">
        <v>43981</v>
      </c>
      <c r="B466" s="7" t="s">
        <v>15</v>
      </c>
      <c r="C466" s="7">
        <v>124</v>
      </c>
      <c r="D466" s="7">
        <v>24325</v>
      </c>
      <c r="E466" s="7">
        <v>22469</v>
      </c>
    </row>
    <row r="467" spans="1:5" ht="14.25" customHeight="1" x14ac:dyDescent="0.3">
      <c r="A467" s="12">
        <v>43981</v>
      </c>
      <c r="B467" s="7" t="s">
        <v>14</v>
      </c>
      <c r="C467" s="7">
        <v>129</v>
      </c>
      <c r="D467" s="7">
        <v>20243</v>
      </c>
      <c r="E467" s="7">
        <v>18711</v>
      </c>
    </row>
    <row r="468" spans="1:5" ht="14.25" customHeight="1" x14ac:dyDescent="0.3">
      <c r="A468" s="12">
        <v>43981</v>
      </c>
      <c r="B468" s="7" t="s">
        <v>12</v>
      </c>
      <c r="C468" s="7">
        <v>10</v>
      </c>
      <c r="D468" s="7">
        <v>865</v>
      </c>
      <c r="E468" s="7">
        <v>763</v>
      </c>
    </row>
    <row r="469" spans="1:5" ht="14.25" customHeight="1" x14ac:dyDescent="0.3">
      <c r="A469" s="12">
        <v>43981</v>
      </c>
      <c r="B469" s="7" t="s">
        <v>24</v>
      </c>
      <c r="C469" s="7">
        <v>7</v>
      </c>
      <c r="D469" s="7">
        <v>532</v>
      </c>
      <c r="E469" s="7">
        <v>449</v>
      </c>
    </row>
    <row r="470" spans="1:5" ht="14.25" customHeight="1" x14ac:dyDescent="0.3">
      <c r="A470" s="12">
        <v>43982</v>
      </c>
      <c r="B470" s="7" t="s">
        <v>16</v>
      </c>
      <c r="C470" s="7">
        <v>37</v>
      </c>
      <c r="D470" s="7">
        <v>5215</v>
      </c>
      <c r="E470" s="7">
        <v>4848</v>
      </c>
    </row>
    <row r="471" spans="1:5" ht="14.25" customHeight="1" x14ac:dyDescent="0.3">
      <c r="A471" s="12">
        <v>43982</v>
      </c>
      <c r="B471" s="7" t="s">
        <v>11</v>
      </c>
      <c r="C471" s="7">
        <v>31</v>
      </c>
      <c r="D471" s="7">
        <v>5760</v>
      </c>
      <c r="E471" s="7">
        <v>5367</v>
      </c>
    </row>
    <row r="472" spans="1:5" ht="14.25" customHeight="1" x14ac:dyDescent="0.3">
      <c r="A472" s="12">
        <v>43982</v>
      </c>
      <c r="B472" s="7" t="s">
        <v>17</v>
      </c>
      <c r="C472" s="7">
        <v>23</v>
      </c>
      <c r="D472" s="7">
        <v>2522</v>
      </c>
      <c r="E472" s="7">
        <v>2295</v>
      </c>
    </row>
    <row r="473" spans="1:5" ht="14.25" customHeight="1" x14ac:dyDescent="0.3">
      <c r="A473" s="12">
        <v>43982</v>
      </c>
      <c r="B473" s="7" t="s">
        <v>10</v>
      </c>
      <c r="C473" s="7">
        <v>21</v>
      </c>
      <c r="D473" s="7">
        <v>2271</v>
      </c>
      <c r="E473" s="7">
        <v>2085</v>
      </c>
    </row>
    <row r="474" spans="1:5" ht="14.25" customHeight="1" x14ac:dyDescent="0.3">
      <c r="A474" s="12">
        <v>43982</v>
      </c>
      <c r="B474" s="7" t="s">
        <v>20</v>
      </c>
      <c r="C474" s="7">
        <v>21</v>
      </c>
      <c r="D474" s="7">
        <v>2056</v>
      </c>
      <c r="E474" s="7">
        <v>1879</v>
      </c>
    </row>
    <row r="475" spans="1:5" ht="14.25" customHeight="1" x14ac:dyDescent="0.3">
      <c r="A475" s="12">
        <v>43982</v>
      </c>
      <c r="B475" s="7" t="s">
        <v>22</v>
      </c>
      <c r="C475" s="7">
        <v>54</v>
      </c>
      <c r="D475" s="7">
        <v>13106</v>
      </c>
      <c r="E475" s="7">
        <v>12164</v>
      </c>
    </row>
    <row r="476" spans="1:5" ht="14.25" customHeight="1" x14ac:dyDescent="0.3">
      <c r="A476" s="12">
        <v>43982</v>
      </c>
      <c r="B476" s="7" t="s">
        <v>21</v>
      </c>
      <c r="C476" s="7">
        <v>59</v>
      </c>
      <c r="D476" s="7">
        <v>13684</v>
      </c>
      <c r="E476" s="7">
        <v>12690</v>
      </c>
    </row>
    <row r="477" spans="1:5" ht="14.25" customHeight="1" x14ac:dyDescent="0.3">
      <c r="A477" s="12">
        <v>43982</v>
      </c>
      <c r="B477" s="7" t="s">
        <v>13</v>
      </c>
      <c r="C477" s="7">
        <v>20</v>
      </c>
      <c r="D477" s="7">
        <v>2060</v>
      </c>
      <c r="E477" s="7">
        <v>1826</v>
      </c>
    </row>
    <row r="478" spans="1:5" ht="14.25" customHeight="1" x14ac:dyDescent="0.3">
      <c r="A478" s="12">
        <v>43982</v>
      </c>
      <c r="B478" s="7" t="s">
        <v>23</v>
      </c>
      <c r="C478" s="7">
        <v>18</v>
      </c>
      <c r="D478" s="7">
        <v>1029</v>
      </c>
      <c r="E478" s="7">
        <v>925</v>
      </c>
    </row>
    <row r="479" spans="1:5" ht="14.25" customHeight="1" x14ac:dyDescent="0.3">
      <c r="A479" s="12">
        <v>43982</v>
      </c>
      <c r="B479" s="7" t="s">
        <v>18</v>
      </c>
      <c r="C479" s="7">
        <v>17</v>
      </c>
      <c r="D479" s="7">
        <v>1186</v>
      </c>
      <c r="E479" s="7">
        <v>1054</v>
      </c>
    </row>
    <row r="480" spans="1:5" ht="14.25" customHeight="1" x14ac:dyDescent="0.3">
      <c r="A480" s="12">
        <v>43982</v>
      </c>
      <c r="B480" s="7" t="s">
        <v>19</v>
      </c>
      <c r="C480" s="7">
        <v>16</v>
      </c>
      <c r="D480" s="7">
        <v>917</v>
      </c>
      <c r="E480" s="7">
        <v>802</v>
      </c>
    </row>
    <row r="481" spans="1:5" ht="14.25" customHeight="1" x14ac:dyDescent="0.3">
      <c r="A481" s="12">
        <v>43982</v>
      </c>
      <c r="B481" s="7" t="s">
        <v>9</v>
      </c>
      <c r="C481" s="7">
        <v>15</v>
      </c>
      <c r="D481" s="7">
        <v>441</v>
      </c>
      <c r="E481" s="7">
        <v>368</v>
      </c>
    </row>
    <row r="482" spans="1:5" ht="14.25" customHeight="1" x14ac:dyDescent="0.3">
      <c r="A482" s="12">
        <v>43982</v>
      </c>
      <c r="B482" s="7" t="s">
        <v>15</v>
      </c>
      <c r="C482" s="7">
        <v>124</v>
      </c>
      <c r="D482" s="7">
        <v>21392</v>
      </c>
      <c r="E482" s="7">
        <v>19869</v>
      </c>
    </row>
    <row r="483" spans="1:5" ht="14.25" customHeight="1" x14ac:dyDescent="0.3">
      <c r="A483" s="12">
        <v>43982</v>
      </c>
      <c r="B483" s="7" t="s">
        <v>14</v>
      </c>
      <c r="C483" s="7">
        <v>129</v>
      </c>
      <c r="D483" s="7">
        <v>17235</v>
      </c>
      <c r="E483" s="7">
        <v>16052</v>
      </c>
    </row>
    <row r="484" spans="1:5" ht="14.25" customHeight="1" x14ac:dyDescent="0.3">
      <c r="A484" s="12">
        <v>43982</v>
      </c>
      <c r="B484" s="7" t="s">
        <v>12</v>
      </c>
      <c r="C484" s="7">
        <v>10</v>
      </c>
      <c r="D484" s="7">
        <v>749</v>
      </c>
      <c r="E484" s="7">
        <v>655</v>
      </c>
    </row>
    <row r="485" spans="1:5" ht="14.25" customHeight="1" x14ac:dyDescent="0.3">
      <c r="A485" s="12">
        <v>43982</v>
      </c>
      <c r="B485" s="7" t="s">
        <v>25</v>
      </c>
      <c r="C485" s="7">
        <v>9</v>
      </c>
      <c r="D485" s="7">
        <v>345</v>
      </c>
      <c r="E485" s="7">
        <v>255</v>
      </c>
    </row>
    <row r="486" spans="1:5" ht="14.25" customHeight="1" x14ac:dyDescent="0.3">
      <c r="A486" s="12">
        <v>43982</v>
      </c>
      <c r="B486" s="7" t="s">
        <v>24</v>
      </c>
      <c r="C486" s="7">
        <v>7</v>
      </c>
      <c r="D486" s="7">
        <v>530</v>
      </c>
      <c r="E486" s="7">
        <v>447</v>
      </c>
    </row>
    <row r="487" spans="1:5" ht="14.25" customHeight="1" x14ac:dyDescent="0.3">
      <c r="A487" s="12">
        <v>43982</v>
      </c>
      <c r="B487" s="7" t="s">
        <v>26</v>
      </c>
      <c r="C487" s="7">
        <v>6</v>
      </c>
      <c r="D487" s="7">
        <v>261</v>
      </c>
      <c r="E487" s="7">
        <v>188</v>
      </c>
    </row>
    <row r="488" spans="1:5" ht="14.25" customHeight="1" x14ac:dyDescent="0.3">
      <c r="A488" s="12">
        <v>43983</v>
      </c>
      <c r="B488" s="7" t="s">
        <v>16</v>
      </c>
      <c r="C488" s="7">
        <v>37</v>
      </c>
      <c r="D488" s="7">
        <v>4722</v>
      </c>
      <c r="E488" s="7">
        <v>4352</v>
      </c>
    </row>
    <row r="489" spans="1:5" ht="14.25" customHeight="1" x14ac:dyDescent="0.3">
      <c r="A489" s="12">
        <v>43983</v>
      </c>
      <c r="B489" s="7" t="s">
        <v>11</v>
      </c>
      <c r="C489" s="7">
        <v>31</v>
      </c>
      <c r="D489" s="7">
        <v>5468</v>
      </c>
      <c r="E489" s="7">
        <v>5081</v>
      </c>
    </row>
    <row r="490" spans="1:5" ht="14.25" customHeight="1" x14ac:dyDescent="0.3">
      <c r="A490" s="12">
        <v>43983</v>
      </c>
      <c r="B490" s="7" t="s">
        <v>17</v>
      </c>
      <c r="C490" s="7">
        <v>23</v>
      </c>
      <c r="D490" s="7">
        <v>2531</v>
      </c>
      <c r="E490" s="7">
        <v>2296</v>
      </c>
    </row>
    <row r="491" spans="1:5" ht="14.25" customHeight="1" x14ac:dyDescent="0.3">
      <c r="A491" s="12">
        <v>43983</v>
      </c>
      <c r="B491" s="7" t="s">
        <v>10</v>
      </c>
      <c r="C491" s="7">
        <v>21</v>
      </c>
      <c r="D491" s="7">
        <v>2025</v>
      </c>
      <c r="E491" s="7">
        <v>1849</v>
      </c>
    </row>
    <row r="492" spans="1:5" ht="14.25" customHeight="1" x14ac:dyDescent="0.3">
      <c r="A492" s="12">
        <v>43983</v>
      </c>
      <c r="B492" s="7" t="s">
        <v>20</v>
      </c>
      <c r="C492" s="7">
        <v>21</v>
      </c>
      <c r="D492" s="7">
        <v>1879</v>
      </c>
      <c r="E492" s="7">
        <v>1720</v>
      </c>
    </row>
    <row r="493" spans="1:5" ht="14.25" customHeight="1" x14ac:dyDescent="0.3">
      <c r="A493" s="12">
        <v>43983</v>
      </c>
      <c r="B493" s="7" t="s">
        <v>22</v>
      </c>
      <c r="C493" s="7">
        <v>54</v>
      </c>
      <c r="D493" s="7">
        <v>11864</v>
      </c>
      <c r="E493" s="7">
        <v>11071</v>
      </c>
    </row>
    <row r="494" spans="1:5" ht="14.25" customHeight="1" x14ac:dyDescent="0.3">
      <c r="A494" s="12">
        <v>43983</v>
      </c>
      <c r="B494" s="7" t="s">
        <v>21</v>
      </c>
      <c r="C494" s="7">
        <v>59</v>
      </c>
      <c r="D494" s="7">
        <v>12299</v>
      </c>
      <c r="E494" s="7">
        <v>11448</v>
      </c>
    </row>
    <row r="495" spans="1:5" ht="14.25" customHeight="1" x14ac:dyDescent="0.3">
      <c r="A495" s="12">
        <v>43983</v>
      </c>
      <c r="B495" s="7" t="s">
        <v>13</v>
      </c>
      <c r="C495" s="7">
        <v>20</v>
      </c>
      <c r="D495" s="7">
        <v>2136</v>
      </c>
      <c r="E495" s="7">
        <v>1899</v>
      </c>
    </row>
    <row r="496" spans="1:5" ht="14.25" customHeight="1" x14ac:dyDescent="0.3">
      <c r="A496" s="12">
        <v>43983</v>
      </c>
      <c r="B496" s="7" t="s">
        <v>23</v>
      </c>
      <c r="C496" s="7">
        <v>18</v>
      </c>
      <c r="D496" s="7">
        <v>923</v>
      </c>
      <c r="E496" s="7">
        <v>824</v>
      </c>
    </row>
    <row r="497" spans="1:5" ht="14.25" customHeight="1" x14ac:dyDescent="0.3">
      <c r="A497" s="12">
        <v>43983</v>
      </c>
      <c r="B497" s="7" t="s">
        <v>18</v>
      </c>
      <c r="C497" s="7">
        <v>17</v>
      </c>
      <c r="D497" s="7">
        <v>1185</v>
      </c>
      <c r="E497" s="7">
        <v>1042</v>
      </c>
    </row>
    <row r="498" spans="1:5" ht="14.25" customHeight="1" x14ac:dyDescent="0.3">
      <c r="A498" s="12">
        <v>43983</v>
      </c>
      <c r="B498" s="7" t="s">
        <v>19</v>
      </c>
      <c r="C498" s="7">
        <v>16</v>
      </c>
      <c r="D498" s="7">
        <v>1019</v>
      </c>
      <c r="E498" s="7">
        <v>895</v>
      </c>
    </row>
    <row r="499" spans="1:5" ht="14.25" customHeight="1" x14ac:dyDescent="0.3">
      <c r="A499" s="12">
        <v>43983</v>
      </c>
      <c r="B499" s="7" t="s">
        <v>9</v>
      </c>
      <c r="C499" s="7">
        <v>15</v>
      </c>
      <c r="D499" s="7">
        <v>453</v>
      </c>
      <c r="E499" s="7">
        <v>370</v>
      </c>
    </row>
    <row r="500" spans="1:5" ht="14.25" customHeight="1" x14ac:dyDescent="0.3">
      <c r="A500" s="12">
        <v>43983</v>
      </c>
      <c r="B500" s="7" t="s">
        <v>15</v>
      </c>
      <c r="C500" s="7">
        <v>123</v>
      </c>
      <c r="D500" s="7">
        <v>20325</v>
      </c>
      <c r="E500" s="7">
        <v>18935</v>
      </c>
    </row>
    <row r="501" spans="1:5" ht="14.25" customHeight="1" x14ac:dyDescent="0.3">
      <c r="A501" s="12">
        <v>43983</v>
      </c>
      <c r="B501" s="7" t="s">
        <v>14</v>
      </c>
      <c r="C501" s="7">
        <v>128</v>
      </c>
      <c r="D501" s="7">
        <v>16285</v>
      </c>
      <c r="E501" s="7">
        <v>15130</v>
      </c>
    </row>
    <row r="502" spans="1:5" ht="14.25" customHeight="1" x14ac:dyDescent="0.3">
      <c r="A502" s="12">
        <v>43983</v>
      </c>
      <c r="B502" s="7" t="s">
        <v>12</v>
      </c>
      <c r="C502" s="7">
        <v>10</v>
      </c>
      <c r="D502" s="7">
        <v>719</v>
      </c>
      <c r="E502" s="7">
        <v>627</v>
      </c>
    </row>
    <row r="503" spans="1:5" ht="14.25" customHeight="1" x14ac:dyDescent="0.3">
      <c r="A503" s="12">
        <v>43983</v>
      </c>
      <c r="B503" s="7" t="s">
        <v>25</v>
      </c>
      <c r="C503" s="7">
        <v>9</v>
      </c>
      <c r="D503" s="7">
        <v>294</v>
      </c>
      <c r="E503" s="7">
        <v>224</v>
      </c>
    </row>
    <row r="504" spans="1:5" ht="14.25" customHeight="1" x14ac:dyDescent="0.3">
      <c r="A504" s="12">
        <v>43983</v>
      </c>
      <c r="B504" s="7" t="s">
        <v>24</v>
      </c>
      <c r="C504" s="7">
        <v>7</v>
      </c>
      <c r="D504" s="7">
        <v>500</v>
      </c>
      <c r="E504" s="7">
        <v>418</v>
      </c>
    </row>
    <row r="505" spans="1:5" ht="14.25" customHeight="1" x14ac:dyDescent="0.3">
      <c r="A505" s="12">
        <v>43983</v>
      </c>
      <c r="B505" s="7" t="s">
        <v>26</v>
      </c>
      <c r="C505" s="7">
        <v>6</v>
      </c>
      <c r="D505" s="7">
        <v>237</v>
      </c>
      <c r="E505" s="7">
        <v>175</v>
      </c>
    </row>
    <row r="506" spans="1:5" ht="14.25" customHeight="1" x14ac:dyDescent="0.3"/>
    <row r="507" spans="1:5" ht="14.25" customHeight="1" x14ac:dyDescent="0.3"/>
    <row r="508" spans="1:5" ht="14.25" customHeight="1" x14ac:dyDescent="0.3"/>
    <row r="509" spans="1:5" ht="14.25" customHeight="1" x14ac:dyDescent="0.3"/>
    <row r="510" spans="1:5" ht="14.25" customHeight="1" x14ac:dyDescent="0.3"/>
    <row r="511" spans="1:5" ht="14.25" customHeight="1" x14ac:dyDescent="0.3"/>
    <row r="512" spans="1:5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203FF-DFB0-4748-B414-45AB34934408}">
  <dimension ref="A1:O29"/>
  <sheetViews>
    <sheetView tabSelected="1" workbookViewId="0">
      <selection activeCell="G22" sqref="G22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3" width="28.5546875" bestFit="1" customWidth="1"/>
    <col min="4" max="4" width="8" bestFit="1" customWidth="1"/>
    <col min="5" max="5" width="10" bestFit="1" customWidth="1"/>
    <col min="6" max="6" width="9" bestFit="1" customWidth="1"/>
    <col min="7" max="8" width="10" bestFit="1" customWidth="1"/>
    <col min="9" max="9" width="7" bestFit="1" customWidth="1"/>
    <col min="10" max="11" width="9" bestFit="1" customWidth="1"/>
    <col min="12" max="12" width="10" bestFit="1" customWidth="1"/>
    <col min="13" max="13" width="7" bestFit="1" customWidth="1"/>
    <col min="14" max="19" width="10" bestFit="1" customWidth="1"/>
    <col min="20" max="20" width="9" bestFit="1" customWidth="1"/>
    <col min="21" max="21" width="7" bestFit="1" customWidth="1"/>
    <col min="22" max="23" width="9" bestFit="1" customWidth="1"/>
    <col min="24" max="24" width="10" bestFit="1" customWidth="1"/>
    <col min="25" max="25" width="7" bestFit="1" customWidth="1"/>
    <col min="26" max="33" width="11" bestFit="1" customWidth="1"/>
    <col min="34" max="34" width="8" bestFit="1" customWidth="1"/>
    <col min="35" max="35" width="11" bestFit="1" customWidth="1"/>
    <col min="36" max="36" width="8" bestFit="1" customWidth="1"/>
    <col min="37" max="40" width="9" bestFit="1" customWidth="1"/>
    <col min="41" max="41" width="7" bestFit="1" customWidth="1"/>
    <col min="42" max="44" width="9" bestFit="1" customWidth="1"/>
    <col min="45" max="45" width="7" bestFit="1" customWidth="1"/>
    <col min="46" max="49" width="9" bestFit="1" customWidth="1"/>
    <col min="50" max="50" width="7" bestFit="1" customWidth="1"/>
    <col min="51" max="51" width="9" bestFit="1" customWidth="1"/>
    <col min="52" max="55" width="7" bestFit="1" customWidth="1"/>
    <col min="56" max="56" width="9" bestFit="1" customWidth="1"/>
    <col min="57" max="57" width="7" bestFit="1" customWidth="1"/>
    <col min="58" max="58" width="8" bestFit="1" customWidth="1"/>
    <col min="59" max="59" width="10" bestFit="1" customWidth="1"/>
    <col min="60" max="60" width="8" bestFit="1" customWidth="1"/>
    <col min="61" max="61" width="10" bestFit="1" customWidth="1"/>
    <col min="62" max="65" width="8" bestFit="1" customWidth="1"/>
    <col min="66" max="69" width="10" bestFit="1" customWidth="1"/>
    <col min="70" max="70" width="8" bestFit="1" customWidth="1"/>
    <col min="71" max="71" width="10" bestFit="1" customWidth="1"/>
    <col min="72" max="73" width="8" bestFit="1" customWidth="1"/>
    <col min="74" max="74" width="10" bestFit="1" customWidth="1"/>
    <col min="75" max="76" width="8" bestFit="1" customWidth="1"/>
    <col min="77" max="78" width="10" bestFit="1" customWidth="1"/>
    <col min="79" max="79" width="8" bestFit="1" customWidth="1"/>
    <col min="80" max="84" width="10" bestFit="1" customWidth="1"/>
    <col min="85" max="85" width="8" bestFit="1" customWidth="1"/>
    <col min="86" max="89" width="10" bestFit="1" customWidth="1"/>
    <col min="90" max="90" width="8" bestFit="1" customWidth="1"/>
    <col min="91" max="92" width="10" bestFit="1" customWidth="1"/>
    <col min="93" max="97" width="8" bestFit="1" customWidth="1"/>
    <col min="98" max="99" width="10" bestFit="1" customWidth="1"/>
    <col min="100" max="102" width="8" bestFit="1" customWidth="1"/>
    <col min="103" max="103" width="10" bestFit="1" customWidth="1"/>
    <col min="104" max="105" width="8" bestFit="1" customWidth="1"/>
    <col min="106" max="106" width="10" bestFit="1" customWidth="1"/>
    <col min="107" max="109" width="8" bestFit="1" customWidth="1"/>
    <col min="110" max="112" width="10" bestFit="1" customWidth="1"/>
    <col min="113" max="116" width="8" bestFit="1" customWidth="1"/>
    <col min="117" max="118" width="10" bestFit="1" customWidth="1"/>
    <col min="119" max="119" width="8" bestFit="1" customWidth="1"/>
    <col min="120" max="121" width="10" bestFit="1" customWidth="1"/>
    <col min="122" max="122" width="8" bestFit="1" customWidth="1"/>
    <col min="123" max="125" width="10" bestFit="1" customWidth="1"/>
    <col min="126" max="126" width="8" bestFit="1" customWidth="1"/>
    <col min="127" max="127" width="10" bestFit="1" customWidth="1"/>
    <col min="128" max="129" width="8" bestFit="1" customWidth="1"/>
    <col min="130" max="131" width="10" bestFit="1" customWidth="1"/>
    <col min="132" max="132" width="8" bestFit="1" customWidth="1"/>
    <col min="133" max="135" width="10" bestFit="1" customWidth="1"/>
    <col min="136" max="137" width="8" bestFit="1" customWidth="1"/>
    <col min="138" max="138" width="10" bestFit="1" customWidth="1"/>
    <col min="139" max="139" width="8" bestFit="1" customWidth="1"/>
    <col min="140" max="142" width="10" bestFit="1" customWidth="1"/>
    <col min="143" max="144" width="8" bestFit="1" customWidth="1"/>
    <col min="145" max="150" width="10" bestFit="1" customWidth="1"/>
    <col min="151" max="151" width="8" bestFit="1" customWidth="1"/>
    <col min="152" max="152" width="10" bestFit="1" customWidth="1"/>
    <col min="153" max="153" width="8" bestFit="1" customWidth="1"/>
    <col min="154" max="155" width="10" bestFit="1" customWidth="1"/>
    <col min="156" max="157" width="8" bestFit="1" customWidth="1"/>
    <col min="158" max="158" width="10" bestFit="1" customWidth="1"/>
    <col min="159" max="159" width="8" bestFit="1" customWidth="1"/>
    <col min="160" max="160" width="10" bestFit="1" customWidth="1"/>
    <col min="161" max="161" width="8" bestFit="1" customWidth="1"/>
    <col min="162" max="164" width="10" bestFit="1" customWidth="1"/>
    <col min="165" max="167" width="8" bestFit="1" customWidth="1"/>
    <col min="168" max="168" width="10" bestFit="1" customWidth="1"/>
    <col min="169" max="169" width="8" bestFit="1" customWidth="1"/>
    <col min="170" max="170" width="10" bestFit="1" customWidth="1"/>
    <col min="171" max="171" width="8" bestFit="1" customWidth="1"/>
    <col min="172" max="172" width="10" bestFit="1" customWidth="1"/>
    <col min="173" max="173" width="8" bestFit="1" customWidth="1"/>
    <col min="174" max="175" width="10" bestFit="1" customWidth="1"/>
    <col min="176" max="177" width="8" bestFit="1" customWidth="1"/>
    <col min="178" max="178" width="10" bestFit="1" customWidth="1"/>
    <col min="179" max="179" width="8" bestFit="1" customWidth="1"/>
    <col min="180" max="180" width="10" bestFit="1" customWidth="1"/>
    <col min="181" max="183" width="8" bestFit="1" customWidth="1"/>
    <col min="184" max="184" width="10" bestFit="1" customWidth="1"/>
    <col min="185" max="185" width="8" bestFit="1" customWidth="1"/>
    <col min="186" max="186" width="10" bestFit="1" customWidth="1"/>
    <col min="187" max="188" width="8" bestFit="1" customWidth="1"/>
    <col min="189" max="189" width="10" bestFit="1" customWidth="1"/>
    <col min="190" max="190" width="8" bestFit="1" customWidth="1"/>
    <col min="191" max="192" width="10" bestFit="1" customWidth="1"/>
    <col min="193" max="194" width="8" bestFit="1" customWidth="1"/>
    <col min="195" max="195" width="10" bestFit="1" customWidth="1"/>
    <col min="196" max="198" width="8" bestFit="1" customWidth="1"/>
    <col min="199" max="199" width="10" bestFit="1" customWidth="1"/>
    <col min="200" max="200" width="8" bestFit="1" customWidth="1"/>
    <col min="201" max="201" width="10" bestFit="1" customWidth="1"/>
    <col min="202" max="203" width="8" bestFit="1" customWidth="1"/>
    <col min="204" max="205" width="10" bestFit="1" customWidth="1"/>
    <col min="206" max="210" width="8" bestFit="1" customWidth="1"/>
    <col min="211" max="211" width="10" bestFit="1" customWidth="1"/>
    <col min="212" max="213" width="8" bestFit="1" customWidth="1"/>
    <col min="214" max="214" width="10" bestFit="1" customWidth="1"/>
    <col min="215" max="216" width="8" bestFit="1" customWidth="1"/>
    <col min="217" max="222" width="10" bestFit="1" customWidth="1"/>
    <col min="223" max="224" width="8" bestFit="1" customWidth="1"/>
    <col min="225" max="232" width="10" bestFit="1" customWidth="1"/>
    <col min="233" max="235" width="8" bestFit="1" customWidth="1"/>
    <col min="236" max="237" width="10" bestFit="1" customWidth="1"/>
    <col min="238" max="238" width="8" bestFit="1" customWidth="1"/>
    <col min="239" max="240" width="10" bestFit="1" customWidth="1"/>
    <col min="241" max="242" width="8" bestFit="1" customWidth="1"/>
    <col min="243" max="243" width="10" bestFit="1" customWidth="1"/>
    <col min="244" max="246" width="8" bestFit="1" customWidth="1"/>
    <col min="247" max="247" width="10" bestFit="1" customWidth="1"/>
    <col min="248" max="249" width="8" bestFit="1" customWidth="1"/>
    <col min="250" max="250" width="10" bestFit="1" customWidth="1"/>
    <col min="251" max="251" width="8" bestFit="1" customWidth="1"/>
    <col min="252" max="257" width="10" bestFit="1" customWidth="1"/>
    <col min="258" max="260" width="8" bestFit="1" customWidth="1"/>
    <col min="261" max="261" width="10" bestFit="1" customWidth="1"/>
    <col min="262" max="262" width="8" bestFit="1" customWidth="1"/>
    <col min="263" max="264" width="10" bestFit="1" customWidth="1"/>
    <col min="265" max="266" width="8" bestFit="1" customWidth="1"/>
    <col min="267" max="267" width="10" bestFit="1" customWidth="1"/>
    <col min="268" max="268" width="8" bestFit="1" customWidth="1"/>
    <col min="269" max="269" width="10" bestFit="1" customWidth="1"/>
    <col min="270" max="271" width="8" bestFit="1" customWidth="1"/>
    <col min="272" max="272" width="10" bestFit="1" customWidth="1"/>
    <col min="273" max="273" width="8" bestFit="1" customWidth="1"/>
    <col min="274" max="278" width="10" bestFit="1" customWidth="1"/>
    <col min="279" max="279" width="8" bestFit="1" customWidth="1"/>
    <col min="280" max="280" width="10" bestFit="1" customWidth="1"/>
    <col min="281" max="281" width="8" bestFit="1" customWidth="1"/>
    <col min="282" max="282" width="10" bestFit="1" customWidth="1"/>
    <col min="283" max="284" width="8" bestFit="1" customWidth="1"/>
    <col min="285" max="285" width="10" bestFit="1" customWidth="1"/>
    <col min="286" max="287" width="8" bestFit="1" customWidth="1"/>
    <col min="288" max="289" width="10" bestFit="1" customWidth="1"/>
    <col min="290" max="291" width="8" bestFit="1" customWidth="1"/>
    <col min="292" max="294" width="10" bestFit="1" customWidth="1"/>
    <col min="295" max="295" width="8" bestFit="1" customWidth="1"/>
    <col min="296" max="302" width="10" bestFit="1" customWidth="1"/>
    <col min="303" max="304" width="8" bestFit="1" customWidth="1"/>
    <col min="305" max="305" width="10" bestFit="1" customWidth="1"/>
    <col min="306" max="307" width="8" bestFit="1" customWidth="1"/>
    <col min="308" max="308" width="10" bestFit="1" customWidth="1"/>
    <col min="309" max="309" width="8" bestFit="1" customWidth="1"/>
    <col min="310" max="310" width="10" bestFit="1" customWidth="1"/>
    <col min="311" max="312" width="8" bestFit="1" customWidth="1"/>
    <col min="313" max="313" width="10" bestFit="1" customWidth="1"/>
    <col min="314" max="316" width="8" bestFit="1" customWidth="1"/>
    <col min="317" max="318" width="10" bestFit="1" customWidth="1"/>
    <col min="319" max="320" width="8" bestFit="1" customWidth="1"/>
    <col min="321" max="321" width="10" bestFit="1" customWidth="1"/>
    <col min="322" max="324" width="8" bestFit="1" customWidth="1"/>
    <col min="325" max="325" width="10" bestFit="1" customWidth="1"/>
    <col min="326" max="327" width="8" bestFit="1" customWidth="1"/>
    <col min="328" max="329" width="10" bestFit="1" customWidth="1"/>
    <col min="330" max="330" width="8" bestFit="1" customWidth="1"/>
    <col min="331" max="332" width="10" bestFit="1" customWidth="1"/>
    <col min="333" max="335" width="8" bestFit="1" customWidth="1"/>
    <col min="336" max="338" width="10" bestFit="1" customWidth="1"/>
    <col min="339" max="340" width="8" bestFit="1" customWidth="1"/>
    <col min="341" max="344" width="10" bestFit="1" customWidth="1"/>
    <col min="345" max="345" width="8" bestFit="1" customWidth="1"/>
    <col min="346" max="346" width="10" bestFit="1" customWidth="1"/>
    <col min="347" max="348" width="8" bestFit="1" customWidth="1"/>
    <col min="349" max="349" width="10" bestFit="1" customWidth="1"/>
    <col min="350" max="350" width="8" bestFit="1" customWidth="1"/>
    <col min="351" max="351" width="10" bestFit="1" customWidth="1"/>
    <col min="352" max="352" width="8" bestFit="1" customWidth="1"/>
    <col min="353" max="353" width="10" bestFit="1" customWidth="1"/>
    <col min="354" max="356" width="8" bestFit="1" customWidth="1"/>
    <col min="357" max="359" width="10" bestFit="1" customWidth="1"/>
    <col min="360" max="361" width="8" bestFit="1" customWidth="1"/>
    <col min="362" max="364" width="10" bestFit="1" customWidth="1"/>
    <col min="365" max="366" width="9" bestFit="1" customWidth="1"/>
    <col min="367" max="367" width="11" bestFit="1" customWidth="1"/>
    <col min="368" max="368" width="9" bestFit="1" customWidth="1"/>
    <col min="369" max="369" width="11" bestFit="1" customWidth="1"/>
    <col min="370" max="370" width="9" bestFit="1" customWidth="1"/>
    <col min="371" max="373" width="11" bestFit="1" customWidth="1"/>
    <col min="374" max="374" width="9" bestFit="1" customWidth="1"/>
    <col min="375" max="376" width="11" bestFit="1" customWidth="1"/>
    <col min="377" max="377" width="9" bestFit="1" customWidth="1"/>
    <col min="378" max="378" width="11" bestFit="1" customWidth="1"/>
    <col min="379" max="379" width="9" bestFit="1" customWidth="1"/>
    <col min="380" max="380" width="11" bestFit="1" customWidth="1"/>
    <col min="381" max="383" width="9" bestFit="1" customWidth="1"/>
    <col min="384" max="384" width="11" bestFit="1" customWidth="1"/>
    <col min="385" max="385" width="9" bestFit="1" customWidth="1"/>
    <col min="386" max="398" width="11" bestFit="1" customWidth="1"/>
    <col min="399" max="399" width="9" bestFit="1" customWidth="1"/>
    <col min="400" max="400" width="11" bestFit="1" customWidth="1"/>
    <col min="401" max="402" width="9" bestFit="1" customWidth="1"/>
    <col min="403" max="404" width="11" bestFit="1" customWidth="1"/>
    <col min="405" max="406" width="9" bestFit="1" customWidth="1"/>
    <col min="407" max="407" width="11" bestFit="1" customWidth="1"/>
    <col min="408" max="408" width="9" bestFit="1" customWidth="1"/>
    <col min="409" max="412" width="11" bestFit="1" customWidth="1"/>
    <col min="413" max="414" width="9" bestFit="1" customWidth="1"/>
    <col min="415" max="416" width="11" bestFit="1" customWidth="1"/>
    <col min="417" max="418" width="9" bestFit="1" customWidth="1"/>
    <col min="419" max="419" width="11" bestFit="1" customWidth="1"/>
    <col min="420" max="422" width="9" bestFit="1" customWidth="1"/>
    <col min="423" max="423" width="11" bestFit="1" customWidth="1"/>
    <col min="424" max="426" width="9" bestFit="1" customWidth="1"/>
    <col min="427" max="428" width="11" bestFit="1" customWidth="1"/>
    <col min="429" max="429" width="12" bestFit="1" customWidth="1"/>
    <col min="430" max="431" width="11" bestFit="1" customWidth="1"/>
    <col min="432" max="433" width="9" bestFit="1" customWidth="1"/>
    <col min="434" max="437" width="11" bestFit="1" customWidth="1"/>
    <col min="438" max="439" width="9" bestFit="1" customWidth="1"/>
    <col min="440" max="440" width="11" bestFit="1" customWidth="1"/>
    <col min="441" max="442" width="12" bestFit="1" customWidth="1"/>
    <col min="443" max="443" width="11" bestFit="1" customWidth="1"/>
    <col min="444" max="444" width="9" bestFit="1" customWidth="1"/>
    <col min="445" max="445" width="11" bestFit="1" customWidth="1"/>
    <col min="446" max="446" width="12" bestFit="1" customWidth="1"/>
    <col min="447" max="449" width="9" bestFit="1" customWidth="1"/>
    <col min="450" max="450" width="11" bestFit="1" customWidth="1"/>
    <col min="451" max="451" width="12" bestFit="1" customWidth="1"/>
    <col min="452" max="452" width="9" bestFit="1" customWidth="1"/>
    <col min="453" max="453" width="11" bestFit="1" customWidth="1"/>
    <col min="454" max="456" width="9" bestFit="1" customWidth="1"/>
    <col min="457" max="457" width="12" bestFit="1" customWidth="1"/>
    <col min="458" max="458" width="9" bestFit="1" customWidth="1"/>
    <col min="459" max="459" width="12" bestFit="1" customWidth="1"/>
    <col min="460" max="460" width="9" bestFit="1" customWidth="1"/>
    <col min="461" max="462" width="11" bestFit="1" customWidth="1"/>
    <col min="463" max="468" width="9" bestFit="1" customWidth="1"/>
    <col min="469" max="469" width="12" bestFit="1" customWidth="1"/>
    <col min="470" max="470" width="9" bestFit="1" customWidth="1"/>
    <col min="471" max="472" width="11" bestFit="1" customWidth="1"/>
    <col min="473" max="476" width="9" bestFit="1" customWidth="1"/>
    <col min="477" max="477" width="11" bestFit="1" customWidth="1"/>
    <col min="478" max="479" width="12" bestFit="1" customWidth="1"/>
    <col min="480" max="482" width="11" bestFit="1" customWidth="1"/>
    <col min="483" max="483" width="9" bestFit="1" customWidth="1"/>
    <col min="484" max="485" width="11" bestFit="1" customWidth="1"/>
    <col min="486" max="488" width="9" bestFit="1" customWidth="1"/>
    <col min="489" max="489" width="11" bestFit="1" customWidth="1"/>
    <col min="490" max="490" width="9" bestFit="1" customWidth="1"/>
    <col min="491" max="491" width="11" bestFit="1" customWidth="1"/>
    <col min="492" max="493" width="9" bestFit="1" customWidth="1"/>
    <col min="494" max="495" width="11" bestFit="1" customWidth="1"/>
    <col min="496" max="496" width="9" bestFit="1" customWidth="1"/>
    <col min="497" max="497" width="12" bestFit="1" customWidth="1"/>
    <col min="498" max="499" width="9" bestFit="1" customWidth="1"/>
    <col min="500" max="500" width="11" bestFit="1" customWidth="1"/>
    <col min="501" max="502" width="9" bestFit="1" customWidth="1"/>
    <col min="503" max="503" width="11" bestFit="1" customWidth="1"/>
    <col min="504" max="504" width="9" bestFit="1" customWidth="1"/>
    <col min="505" max="505" width="10.77734375" bestFit="1" customWidth="1"/>
    <col min="506" max="506" width="12.21875" bestFit="1" customWidth="1"/>
    <col min="507" max="507" width="10" bestFit="1" customWidth="1"/>
    <col min="508" max="508" width="12.21875" bestFit="1" customWidth="1"/>
    <col min="509" max="509" width="10" bestFit="1" customWidth="1"/>
    <col min="510" max="510" width="10.6640625" bestFit="1" customWidth="1"/>
    <col min="511" max="511" width="10" bestFit="1" customWidth="1"/>
    <col min="512" max="512" width="12.21875" bestFit="1" customWidth="1"/>
    <col min="513" max="513" width="10" bestFit="1" customWidth="1"/>
    <col min="514" max="514" width="10.6640625" bestFit="1" customWidth="1"/>
    <col min="515" max="515" width="8" bestFit="1" customWidth="1"/>
    <col min="516" max="516" width="10.6640625" bestFit="1" customWidth="1"/>
    <col min="517" max="517" width="8" bestFit="1" customWidth="1"/>
    <col min="518" max="518" width="10.6640625" bestFit="1" customWidth="1"/>
    <col min="519" max="519" width="10" bestFit="1" customWidth="1"/>
    <col min="520" max="520" width="12.21875" bestFit="1" customWidth="1"/>
    <col min="521" max="521" width="10" bestFit="1" customWidth="1"/>
    <col min="522" max="522" width="12.21875" bestFit="1" customWidth="1"/>
    <col min="523" max="523" width="8" bestFit="1" customWidth="1"/>
    <col min="524" max="524" width="10.6640625" bestFit="1" customWidth="1"/>
    <col min="525" max="525" width="8" bestFit="1" customWidth="1"/>
    <col min="526" max="526" width="10.6640625" bestFit="1" customWidth="1"/>
    <col min="527" max="527" width="10" bestFit="1" customWidth="1"/>
    <col min="528" max="528" width="12.21875" bestFit="1" customWidth="1"/>
    <col min="529" max="529" width="10" bestFit="1" customWidth="1"/>
    <col min="530" max="530" width="12.21875" bestFit="1" customWidth="1"/>
    <col min="531" max="531" width="10" bestFit="1" customWidth="1"/>
    <col min="532" max="532" width="12.21875" bestFit="1" customWidth="1"/>
    <col min="533" max="533" width="10" bestFit="1" customWidth="1"/>
    <col min="534" max="534" width="12.21875" bestFit="1" customWidth="1"/>
    <col min="535" max="535" width="8" bestFit="1" customWidth="1"/>
    <col min="536" max="536" width="10.6640625" bestFit="1" customWidth="1"/>
    <col min="537" max="537" width="10" bestFit="1" customWidth="1"/>
    <col min="538" max="538" width="12.21875" bestFit="1" customWidth="1"/>
    <col min="539" max="539" width="10" bestFit="1" customWidth="1"/>
    <col min="540" max="540" width="12.21875" bestFit="1" customWidth="1"/>
    <col min="541" max="541" width="10" bestFit="1" customWidth="1"/>
    <col min="542" max="542" width="12.21875" bestFit="1" customWidth="1"/>
    <col min="543" max="543" width="10" bestFit="1" customWidth="1"/>
    <col min="544" max="544" width="12.21875" bestFit="1" customWidth="1"/>
    <col min="545" max="545" width="10" bestFit="1" customWidth="1"/>
    <col min="546" max="546" width="10.6640625" bestFit="1" customWidth="1"/>
    <col min="547" max="547" width="10" bestFit="1" customWidth="1"/>
    <col min="548" max="548" width="12.21875" bestFit="1" customWidth="1"/>
    <col min="549" max="549" width="10" bestFit="1" customWidth="1"/>
    <col min="550" max="550" width="12.21875" bestFit="1" customWidth="1"/>
    <col min="551" max="551" width="10" bestFit="1" customWidth="1"/>
    <col min="552" max="552" width="10.6640625" bestFit="1" customWidth="1"/>
    <col min="553" max="553" width="10" bestFit="1" customWidth="1"/>
    <col min="554" max="554" width="12.21875" bestFit="1" customWidth="1"/>
    <col min="555" max="555" width="10" bestFit="1" customWidth="1"/>
    <col min="556" max="556" width="12.21875" bestFit="1" customWidth="1"/>
    <col min="557" max="557" width="10" bestFit="1" customWidth="1"/>
    <col min="558" max="558" width="12.21875" bestFit="1" customWidth="1"/>
    <col min="559" max="559" width="10" bestFit="1" customWidth="1"/>
    <col min="560" max="560" width="12.21875" bestFit="1" customWidth="1"/>
    <col min="561" max="561" width="8" bestFit="1" customWidth="1"/>
    <col min="562" max="562" width="10.6640625" bestFit="1" customWidth="1"/>
    <col min="563" max="563" width="10" bestFit="1" customWidth="1"/>
    <col min="564" max="564" width="10.6640625" bestFit="1" customWidth="1"/>
    <col min="565" max="565" width="10" bestFit="1" customWidth="1"/>
    <col min="566" max="566" width="10.6640625" bestFit="1" customWidth="1"/>
    <col min="567" max="567" width="10" bestFit="1" customWidth="1"/>
    <col min="568" max="568" width="12.21875" bestFit="1" customWidth="1"/>
    <col min="569" max="569" width="10" bestFit="1" customWidth="1"/>
    <col min="570" max="570" width="10.6640625" bestFit="1" customWidth="1"/>
    <col min="571" max="571" width="10" bestFit="1" customWidth="1"/>
    <col min="572" max="572" width="12.21875" bestFit="1" customWidth="1"/>
    <col min="573" max="573" width="8" bestFit="1" customWidth="1"/>
    <col min="574" max="574" width="10.6640625" bestFit="1" customWidth="1"/>
    <col min="575" max="575" width="10" bestFit="1" customWidth="1"/>
    <col min="576" max="576" width="10.6640625" bestFit="1" customWidth="1"/>
    <col min="577" max="577" width="10" bestFit="1" customWidth="1"/>
    <col min="578" max="578" width="12.21875" bestFit="1" customWidth="1"/>
    <col min="579" max="579" width="10" bestFit="1" customWidth="1"/>
    <col min="580" max="580" width="12.21875" bestFit="1" customWidth="1"/>
    <col min="581" max="581" width="10" bestFit="1" customWidth="1"/>
    <col min="582" max="582" width="12.21875" bestFit="1" customWidth="1"/>
    <col min="583" max="583" width="10" bestFit="1" customWidth="1"/>
    <col min="584" max="584" width="10.6640625" bestFit="1" customWidth="1"/>
    <col min="585" max="585" width="10" bestFit="1" customWidth="1"/>
    <col min="586" max="586" width="12.21875" bestFit="1" customWidth="1"/>
    <col min="587" max="587" width="8" bestFit="1" customWidth="1"/>
    <col min="588" max="588" width="10.6640625" bestFit="1" customWidth="1"/>
    <col min="589" max="589" width="10" bestFit="1" customWidth="1"/>
    <col min="590" max="590" width="10.6640625" bestFit="1" customWidth="1"/>
    <col min="591" max="591" width="10" bestFit="1" customWidth="1"/>
    <col min="592" max="592" width="12.21875" bestFit="1" customWidth="1"/>
    <col min="593" max="593" width="10" bestFit="1" customWidth="1"/>
    <col min="594" max="594" width="12.21875" bestFit="1" customWidth="1"/>
    <col min="595" max="595" width="10" bestFit="1" customWidth="1"/>
    <col min="596" max="596" width="10.6640625" bestFit="1" customWidth="1"/>
    <col min="597" max="597" width="10" bestFit="1" customWidth="1"/>
    <col min="598" max="598" width="10.6640625" bestFit="1" customWidth="1"/>
    <col min="599" max="599" width="10" bestFit="1" customWidth="1"/>
    <col min="600" max="600" width="12.21875" bestFit="1" customWidth="1"/>
    <col min="601" max="601" width="10" bestFit="1" customWidth="1"/>
    <col min="602" max="602" width="12.21875" bestFit="1" customWidth="1"/>
    <col min="603" max="603" width="8" bestFit="1" customWidth="1"/>
    <col min="604" max="604" width="10.6640625" bestFit="1" customWidth="1"/>
    <col min="605" max="605" width="10" bestFit="1" customWidth="1"/>
    <col min="606" max="606" width="12.21875" bestFit="1" customWidth="1"/>
    <col min="607" max="607" width="8" bestFit="1" customWidth="1"/>
    <col min="608" max="608" width="10.6640625" bestFit="1" customWidth="1"/>
    <col min="609" max="609" width="10" bestFit="1" customWidth="1"/>
    <col min="610" max="610" width="12.21875" bestFit="1" customWidth="1"/>
    <col min="611" max="611" width="8" bestFit="1" customWidth="1"/>
    <col min="612" max="612" width="10.6640625" bestFit="1" customWidth="1"/>
    <col min="613" max="613" width="10" bestFit="1" customWidth="1"/>
    <col min="614" max="614" width="12.21875" bestFit="1" customWidth="1"/>
    <col min="615" max="615" width="10" bestFit="1" customWidth="1"/>
    <col min="616" max="616" width="12.21875" bestFit="1" customWidth="1"/>
    <col min="617" max="617" width="8" bestFit="1" customWidth="1"/>
    <col min="618" max="618" width="10.6640625" bestFit="1" customWidth="1"/>
    <col min="619" max="619" width="8" bestFit="1" customWidth="1"/>
    <col min="620" max="620" width="10.6640625" bestFit="1" customWidth="1"/>
    <col min="621" max="621" width="10" bestFit="1" customWidth="1"/>
    <col min="622" max="622" width="10.6640625" bestFit="1" customWidth="1"/>
    <col min="623" max="623" width="10" bestFit="1" customWidth="1"/>
    <col min="624" max="624" width="12.21875" bestFit="1" customWidth="1"/>
    <col min="625" max="625" width="10" bestFit="1" customWidth="1"/>
    <col min="626" max="626" width="10.6640625" bestFit="1" customWidth="1"/>
    <col min="627" max="627" width="10" bestFit="1" customWidth="1"/>
    <col min="628" max="628" width="10.6640625" bestFit="1" customWidth="1"/>
    <col min="629" max="629" width="8" bestFit="1" customWidth="1"/>
    <col min="630" max="630" width="10.6640625" bestFit="1" customWidth="1"/>
    <col min="631" max="631" width="10" bestFit="1" customWidth="1"/>
    <col min="632" max="632" width="12.21875" bestFit="1" customWidth="1"/>
    <col min="633" max="633" width="10" bestFit="1" customWidth="1"/>
    <col min="634" max="634" width="10.6640625" bestFit="1" customWidth="1"/>
    <col min="635" max="635" width="10" bestFit="1" customWidth="1"/>
    <col min="636" max="636" width="12.21875" bestFit="1" customWidth="1"/>
    <col min="637" max="637" width="8" bestFit="1" customWidth="1"/>
    <col min="638" max="638" width="10.6640625" bestFit="1" customWidth="1"/>
    <col min="639" max="639" width="10" bestFit="1" customWidth="1"/>
    <col min="640" max="640" width="12.21875" bestFit="1" customWidth="1"/>
    <col min="641" max="641" width="10" bestFit="1" customWidth="1"/>
    <col min="642" max="642" width="12.21875" bestFit="1" customWidth="1"/>
    <col min="643" max="643" width="10" bestFit="1" customWidth="1"/>
    <col min="644" max="644" width="12.21875" bestFit="1" customWidth="1"/>
    <col min="645" max="645" width="10" bestFit="1" customWidth="1"/>
    <col min="646" max="646" width="10.6640625" bestFit="1" customWidth="1"/>
    <col min="647" max="647" width="10" bestFit="1" customWidth="1"/>
    <col min="648" max="648" width="12.21875" bestFit="1" customWidth="1"/>
    <col min="649" max="649" width="8" bestFit="1" customWidth="1"/>
    <col min="650" max="650" width="10.6640625" bestFit="1" customWidth="1"/>
    <col min="651" max="651" width="10" bestFit="1" customWidth="1"/>
    <col min="652" max="652" width="12.21875" bestFit="1" customWidth="1"/>
    <col min="653" max="653" width="10" bestFit="1" customWidth="1"/>
    <col min="654" max="654" width="12.21875" bestFit="1" customWidth="1"/>
    <col min="655" max="655" width="10" bestFit="1" customWidth="1"/>
    <col min="656" max="656" width="12.21875" bestFit="1" customWidth="1"/>
    <col min="657" max="657" width="10" bestFit="1" customWidth="1"/>
    <col min="658" max="658" width="12.21875" bestFit="1" customWidth="1"/>
    <col min="659" max="659" width="10" bestFit="1" customWidth="1"/>
    <col min="660" max="660" width="12.21875" bestFit="1" customWidth="1"/>
    <col min="661" max="661" width="10" bestFit="1" customWidth="1"/>
    <col min="662" max="662" width="12.21875" bestFit="1" customWidth="1"/>
    <col min="663" max="663" width="10" bestFit="1" customWidth="1"/>
    <col min="664" max="664" width="12.21875" bestFit="1" customWidth="1"/>
    <col min="665" max="665" width="10" bestFit="1" customWidth="1"/>
    <col min="666" max="666" width="12.21875" bestFit="1" customWidth="1"/>
    <col min="667" max="667" width="10" bestFit="1" customWidth="1"/>
    <col min="668" max="668" width="10.6640625" bestFit="1" customWidth="1"/>
    <col min="669" max="669" width="10" bestFit="1" customWidth="1"/>
    <col min="670" max="670" width="10.6640625" bestFit="1" customWidth="1"/>
    <col min="671" max="671" width="10" bestFit="1" customWidth="1"/>
    <col min="672" max="672" width="12.21875" bestFit="1" customWidth="1"/>
    <col min="673" max="673" width="10" bestFit="1" customWidth="1"/>
    <col min="674" max="674" width="10.6640625" bestFit="1" customWidth="1"/>
    <col min="675" max="675" width="10" bestFit="1" customWidth="1"/>
    <col min="676" max="676" width="12.21875" bestFit="1" customWidth="1"/>
    <col min="677" max="677" width="10" bestFit="1" customWidth="1"/>
    <col min="678" max="678" width="12.21875" bestFit="1" customWidth="1"/>
    <col min="679" max="679" width="10" bestFit="1" customWidth="1"/>
    <col min="680" max="680" width="10.6640625" bestFit="1" customWidth="1"/>
    <col min="681" max="681" width="10" bestFit="1" customWidth="1"/>
    <col min="682" max="682" width="12.21875" bestFit="1" customWidth="1"/>
    <col min="683" max="683" width="10" bestFit="1" customWidth="1"/>
    <col min="684" max="684" width="10.6640625" bestFit="1" customWidth="1"/>
    <col min="685" max="685" width="10" bestFit="1" customWidth="1"/>
    <col min="686" max="686" width="10.6640625" bestFit="1" customWidth="1"/>
    <col min="687" max="687" width="10" bestFit="1" customWidth="1"/>
    <col min="688" max="688" width="12.21875" bestFit="1" customWidth="1"/>
    <col min="689" max="689" width="10" bestFit="1" customWidth="1"/>
    <col min="690" max="690" width="12.21875" bestFit="1" customWidth="1"/>
    <col min="691" max="691" width="10" bestFit="1" customWidth="1"/>
    <col min="692" max="692" width="12.21875" bestFit="1" customWidth="1"/>
    <col min="693" max="693" width="10" bestFit="1" customWidth="1"/>
    <col min="694" max="694" width="12.21875" bestFit="1" customWidth="1"/>
    <col min="695" max="695" width="8" bestFit="1" customWidth="1"/>
    <col min="696" max="696" width="10.6640625" bestFit="1" customWidth="1"/>
    <col min="697" max="697" width="8" bestFit="1" customWidth="1"/>
    <col min="698" max="698" width="10.6640625" bestFit="1" customWidth="1"/>
    <col min="699" max="699" width="8" bestFit="1" customWidth="1"/>
    <col min="700" max="700" width="10.6640625" bestFit="1" customWidth="1"/>
    <col min="701" max="701" width="10" bestFit="1" customWidth="1"/>
    <col min="702" max="702" width="12.21875" bestFit="1" customWidth="1"/>
    <col min="703" max="703" width="8" bestFit="1" customWidth="1"/>
    <col min="704" max="704" width="10.6640625" bestFit="1" customWidth="1"/>
    <col min="705" max="705" width="10" bestFit="1" customWidth="1"/>
    <col min="706" max="706" width="12.21875" bestFit="1" customWidth="1"/>
    <col min="707" max="707" width="10" bestFit="1" customWidth="1"/>
    <col min="708" max="708" width="10.6640625" bestFit="1" customWidth="1"/>
    <col min="709" max="709" width="10" bestFit="1" customWidth="1"/>
    <col min="710" max="710" width="12.21875" bestFit="1" customWidth="1"/>
    <col min="711" max="711" width="8" bestFit="1" customWidth="1"/>
    <col min="712" max="712" width="10.6640625" bestFit="1" customWidth="1"/>
    <col min="713" max="713" width="10" bestFit="1" customWidth="1"/>
    <col min="714" max="714" width="12.21875" bestFit="1" customWidth="1"/>
    <col min="715" max="715" width="10" bestFit="1" customWidth="1"/>
    <col min="716" max="716" width="12.21875" bestFit="1" customWidth="1"/>
    <col min="717" max="717" width="10" bestFit="1" customWidth="1"/>
    <col min="718" max="718" width="12.21875" bestFit="1" customWidth="1"/>
    <col min="719" max="719" width="10" bestFit="1" customWidth="1"/>
    <col min="720" max="720" width="12.21875" bestFit="1" customWidth="1"/>
    <col min="721" max="721" width="11" bestFit="1" customWidth="1"/>
    <col min="722" max="722" width="13.33203125" bestFit="1" customWidth="1"/>
    <col min="723" max="723" width="10" bestFit="1" customWidth="1"/>
    <col min="724" max="724" width="11.6640625" bestFit="1" customWidth="1"/>
    <col min="725" max="725" width="10" bestFit="1" customWidth="1"/>
    <col min="726" max="726" width="11.6640625" bestFit="1" customWidth="1"/>
    <col min="727" max="727" width="11" bestFit="1" customWidth="1"/>
    <col min="728" max="728" width="13.33203125" bestFit="1" customWidth="1"/>
    <col min="729" max="729" width="9" bestFit="1" customWidth="1"/>
    <col min="730" max="730" width="11.6640625" bestFit="1" customWidth="1"/>
    <col min="731" max="731" width="11" bestFit="1" customWidth="1"/>
    <col min="732" max="732" width="11.6640625" bestFit="1" customWidth="1"/>
    <col min="733" max="733" width="11" bestFit="1" customWidth="1"/>
    <col min="734" max="734" width="13.33203125" bestFit="1" customWidth="1"/>
    <col min="735" max="735" width="11" bestFit="1" customWidth="1"/>
    <col min="736" max="736" width="11.6640625" bestFit="1" customWidth="1"/>
    <col min="737" max="737" width="11" bestFit="1" customWidth="1"/>
    <col min="738" max="738" width="13.33203125" bestFit="1" customWidth="1"/>
    <col min="739" max="739" width="9" bestFit="1" customWidth="1"/>
    <col min="740" max="740" width="11.6640625" bestFit="1" customWidth="1"/>
    <col min="741" max="741" width="11" bestFit="1" customWidth="1"/>
    <col min="742" max="742" width="13.33203125" bestFit="1" customWidth="1"/>
    <col min="743" max="743" width="11" bestFit="1" customWidth="1"/>
    <col min="744" max="744" width="11.6640625" bestFit="1" customWidth="1"/>
    <col min="745" max="745" width="11" bestFit="1" customWidth="1"/>
    <col min="746" max="746" width="13.33203125" bestFit="1" customWidth="1"/>
    <col min="747" max="747" width="11" bestFit="1" customWidth="1"/>
    <col min="748" max="748" width="13.33203125" bestFit="1" customWidth="1"/>
    <col min="749" max="749" width="11" bestFit="1" customWidth="1"/>
    <col min="750" max="750" width="13.33203125" bestFit="1" customWidth="1"/>
    <col min="751" max="751" width="11" bestFit="1" customWidth="1"/>
    <col min="752" max="752" width="13.33203125" bestFit="1" customWidth="1"/>
    <col min="753" max="753" width="11" bestFit="1" customWidth="1"/>
    <col min="754" max="754" width="13.33203125" bestFit="1" customWidth="1"/>
    <col min="755" max="755" width="9" bestFit="1" customWidth="1"/>
    <col min="756" max="756" width="11.6640625" bestFit="1" customWidth="1"/>
    <col min="757" max="757" width="11" bestFit="1" customWidth="1"/>
    <col min="758" max="758" width="13.33203125" bestFit="1" customWidth="1"/>
    <col min="759" max="759" width="9" bestFit="1" customWidth="1"/>
    <col min="760" max="760" width="11.6640625" bestFit="1" customWidth="1"/>
    <col min="761" max="761" width="9" bestFit="1" customWidth="1"/>
    <col min="762" max="762" width="11.6640625" bestFit="1" customWidth="1"/>
    <col min="763" max="763" width="11" bestFit="1" customWidth="1"/>
    <col min="764" max="764" width="11.6640625" bestFit="1" customWidth="1"/>
    <col min="765" max="765" width="9" bestFit="1" customWidth="1"/>
    <col min="766" max="766" width="11.6640625" bestFit="1" customWidth="1"/>
    <col min="767" max="767" width="11" bestFit="1" customWidth="1"/>
    <col min="768" max="768" width="11.6640625" bestFit="1" customWidth="1"/>
    <col min="769" max="769" width="11" bestFit="1" customWidth="1"/>
    <col min="770" max="770" width="13.33203125" bestFit="1" customWidth="1"/>
    <col min="771" max="771" width="11" bestFit="1" customWidth="1"/>
    <col min="772" max="772" width="13.33203125" bestFit="1" customWidth="1"/>
    <col min="773" max="773" width="11" bestFit="1" customWidth="1"/>
    <col min="774" max="774" width="13.33203125" bestFit="1" customWidth="1"/>
    <col min="775" max="775" width="11" bestFit="1" customWidth="1"/>
    <col min="776" max="776" width="11.6640625" bestFit="1" customWidth="1"/>
    <col min="777" max="777" width="11" bestFit="1" customWidth="1"/>
    <col min="778" max="778" width="13.33203125" bestFit="1" customWidth="1"/>
    <col min="779" max="779" width="11" bestFit="1" customWidth="1"/>
    <col min="780" max="780" width="11.6640625" bestFit="1" customWidth="1"/>
    <col min="781" max="781" width="11" bestFit="1" customWidth="1"/>
    <col min="782" max="782" width="11.6640625" bestFit="1" customWidth="1"/>
    <col min="783" max="783" width="11" bestFit="1" customWidth="1"/>
    <col min="784" max="784" width="13.33203125" bestFit="1" customWidth="1"/>
    <col min="785" max="785" width="11" bestFit="1" customWidth="1"/>
    <col min="786" max="786" width="13.33203125" bestFit="1" customWidth="1"/>
    <col min="787" max="787" width="11" bestFit="1" customWidth="1"/>
    <col min="788" max="788" width="13.33203125" bestFit="1" customWidth="1"/>
    <col min="789" max="789" width="11" bestFit="1" customWidth="1"/>
    <col min="790" max="790" width="13.33203125" bestFit="1" customWidth="1"/>
    <col min="791" max="791" width="9" bestFit="1" customWidth="1"/>
    <col min="792" max="792" width="11.6640625" bestFit="1" customWidth="1"/>
    <col min="793" max="793" width="11" bestFit="1" customWidth="1"/>
    <col min="794" max="794" width="13.33203125" bestFit="1" customWidth="1"/>
    <col min="795" max="795" width="11" bestFit="1" customWidth="1"/>
    <col min="796" max="796" width="11.6640625" bestFit="1" customWidth="1"/>
    <col min="797" max="797" width="11" bestFit="1" customWidth="1"/>
    <col min="798" max="798" width="13.33203125" bestFit="1" customWidth="1"/>
    <col min="799" max="799" width="9" bestFit="1" customWidth="1"/>
    <col min="800" max="800" width="11.6640625" bestFit="1" customWidth="1"/>
    <col min="801" max="801" width="11" bestFit="1" customWidth="1"/>
    <col min="802" max="802" width="11.6640625" bestFit="1" customWidth="1"/>
    <col min="803" max="803" width="11" bestFit="1" customWidth="1"/>
    <col min="804" max="804" width="13.33203125" bestFit="1" customWidth="1"/>
    <col min="805" max="805" width="11" bestFit="1" customWidth="1"/>
    <col min="806" max="806" width="11.6640625" bestFit="1" customWidth="1"/>
    <col min="807" max="807" width="11" bestFit="1" customWidth="1"/>
    <col min="808" max="808" width="11.6640625" bestFit="1" customWidth="1"/>
    <col min="809" max="809" width="11" bestFit="1" customWidth="1"/>
    <col min="810" max="810" width="11.6640625" bestFit="1" customWidth="1"/>
    <col min="811" max="811" width="9" bestFit="1" customWidth="1"/>
    <col min="812" max="812" width="11.6640625" bestFit="1" customWidth="1"/>
    <col min="813" max="813" width="11" bestFit="1" customWidth="1"/>
    <col min="814" max="814" width="13.33203125" bestFit="1" customWidth="1"/>
    <col min="815" max="815" width="11" bestFit="1" customWidth="1"/>
    <col min="816" max="816" width="13.33203125" bestFit="1" customWidth="1"/>
    <col min="817" max="817" width="11" bestFit="1" customWidth="1"/>
    <col min="818" max="818" width="13.33203125" bestFit="1" customWidth="1"/>
    <col min="819" max="819" width="11" bestFit="1" customWidth="1"/>
    <col min="820" max="820" width="11.6640625" bestFit="1" customWidth="1"/>
    <col min="821" max="821" width="11" bestFit="1" customWidth="1"/>
    <col min="822" max="822" width="13.33203125" bestFit="1" customWidth="1"/>
    <col min="823" max="823" width="11" bestFit="1" customWidth="1"/>
    <col min="824" max="824" width="13.33203125" bestFit="1" customWidth="1"/>
    <col min="825" max="825" width="11" bestFit="1" customWidth="1"/>
    <col min="826" max="826" width="13.33203125" bestFit="1" customWidth="1"/>
    <col min="827" max="827" width="11" bestFit="1" customWidth="1"/>
    <col min="828" max="828" width="11.6640625" bestFit="1" customWidth="1"/>
    <col min="829" max="829" width="11" bestFit="1" customWidth="1"/>
    <col min="830" max="830" width="11.6640625" bestFit="1" customWidth="1"/>
    <col min="831" max="831" width="11" bestFit="1" customWidth="1"/>
    <col min="832" max="832" width="13.33203125" bestFit="1" customWidth="1"/>
    <col min="833" max="833" width="11" bestFit="1" customWidth="1"/>
    <col min="834" max="834" width="13.33203125" bestFit="1" customWidth="1"/>
    <col min="835" max="835" width="11" bestFit="1" customWidth="1"/>
    <col min="836" max="836" width="13.33203125" bestFit="1" customWidth="1"/>
    <col min="837" max="837" width="11" bestFit="1" customWidth="1"/>
    <col min="838" max="838" width="13.33203125" bestFit="1" customWidth="1"/>
    <col min="839" max="839" width="11" bestFit="1" customWidth="1"/>
    <col min="840" max="840" width="13.33203125" bestFit="1" customWidth="1"/>
    <col min="841" max="841" width="11" bestFit="1" customWidth="1"/>
    <col min="842" max="842" width="13.33203125" bestFit="1" customWidth="1"/>
    <col min="843" max="843" width="11" bestFit="1" customWidth="1"/>
    <col min="844" max="844" width="11.6640625" bestFit="1" customWidth="1"/>
    <col min="845" max="845" width="11" bestFit="1" customWidth="1"/>
    <col min="846" max="846" width="13.33203125" bestFit="1" customWidth="1"/>
    <col min="847" max="847" width="11" bestFit="1" customWidth="1"/>
    <col min="848" max="848" width="13.33203125" bestFit="1" customWidth="1"/>
    <col min="849" max="849" width="12" bestFit="1" customWidth="1"/>
    <col min="850" max="850" width="11.6640625" bestFit="1" customWidth="1"/>
    <col min="851" max="851" width="11" bestFit="1" customWidth="1"/>
    <col min="852" max="852" width="13.33203125" bestFit="1" customWidth="1"/>
    <col min="853" max="853" width="9" bestFit="1" customWidth="1"/>
    <col min="854" max="854" width="11.6640625" bestFit="1" customWidth="1"/>
    <col min="855" max="855" width="11" bestFit="1" customWidth="1"/>
    <col min="856" max="856" width="11.6640625" bestFit="1" customWidth="1"/>
    <col min="857" max="857" width="9" bestFit="1" customWidth="1"/>
    <col min="858" max="858" width="11.6640625" bestFit="1" customWidth="1"/>
    <col min="859" max="859" width="11" bestFit="1" customWidth="1"/>
    <col min="860" max="860" width="11.6640625" bestFit="1" customWidth="1"/>
    <col min="861" max="861" width="11" bestFit="1" customWidth="1"/>
    <col min="862" max="862" width="11.6640625" bestFit="1" customWidth="1"/>
    <col min="863" max="863" width="11" bestFit="1" customWidth="1"/>
    <col min="864" max="864" width="13.33203125" bestFit="1" customWidth="1"/>
    <col min="865" max="865" width="11" bestFit="1" customWidth="1"/>
    <col min="866" max="866" width="11.6640625" bestFit="1" customWidth="1"/>
    <col min="867" max="867" width="11" bestFit="1" customWidth="1"/>
    <col min="868" max="868" width="13.33203125" bestFit="1" customWidth="1"/>
    <col min="869" max="869" width="11" bestFit="1" customWidth="1"/>
    <col min="870" max="870" width="11.6640625" bestFit="1" customWidth="1"/>
    <col min="871" max="871" width="12" bestFit="1" customWidth="1"/>
    <col min="872" max="872" width="11.6640625" bestFit="1" customWidth="1"/>
    <col min="873" max="873" width="11" bestFit="1" customWidth="1"/>
    <col min="874" max="874" width="13.33203125" bestFit="1" customWidth="1"/>
    <col min="875" max="875" width="11" bestFit="1" customWidth="1"/>
    <col min="876" max="876" width="13.33203125" bestFit="1" customWidth="1"/>
    <col min="877" max="877" width="11" bestFit="1" customWidth="1"/>
    <col min="878" max="878" width="13.33203125" bestFit="1" customWidth="1"/>
    <col min="879" max="879" width="12" bestFit="1" customWidth="1"/>
    <col min="880" max="880" width="11.6640625" bestFit="1" customWidth="1"/>
    <col min="881" max="881" width="9" bestFit="1" customWidth="1"/>
    <col min="882" max="882" width="11.6640625" bestFit="1" customWidth="1"/>
    <col min="883" max="883" width="9" bestFit="1" customWidth="1"/>
    <col min="884" max="884" width="11.6640625" bestFit="1" customWidth="1"/>
    <col min="885" max="885" width="9" bestFit="1" customWidth="1"/>
    <col min="886" max="886" width="11.6640625" bestFit="1" customWidth="1"/>
    <col min="887" max="887" width="11" bestFit="1" customWidth="1"/>
    <col min="888" max="888" width="13.33203125" bestFit="1" customWidth="1"/>
    <col min="889" max="889" width="11" bestFit="1" customWidth="1"/>
    <col min="890" max="890" width="11.6640625" bestFit="1" customWidth="1"/>
    <col min="891" max="891" width="12" bestFit="1" customWidth="1"/>
    <col min="892" max="892" width="11.6640625" bestFit="1" customWidth="1"/>
    <col min="893" max="893" width="12" bestFit="1" customWidth="1"/>
    <col min="894" max="894" width="13.33203125" bestFit="1" customWidth="1"/>
    <col min="895" max="895" width="9" bestFit="1" customWidth="1"/>
    <col min="896" max="896" width="11.6640625" bestFit="1" customWidth="1"/>
    <col min="897" max="897" width="11" bestFit="1" customWidth="1"/>
    <col min="898" max="898" width="13.33203125" bestFit="1" customWidth="1"/>
    <col min="899" max="899" width="9" bestFit="1" customWidth="1"/>
    <col min="900" max="900" width="11.6640625" bestFit="1" customWidth="1"/>
    <col min="901" max="901" width="11" bestFit="1" customWidth="1"/>
    <col min="902" max="902" width="11.6640625" bestFit="1" customWidth="1"/>
    <col min="903" max="903" width="11" bestFit="1" customWidth="1"/>
    <col min="904" max="904" width="13.33203125" bestFit="1" customWidth="1"/>
    <col min="905" max="905" width="12" bestFit="1" customWidth="1"/>
    <col min="906" max="906" width="13.33203125" bestFit="1" customWidth="1"/>
    <col min="907" max="907" width="11" bestFit="1" customWidth="1"/>
    <col min="908" max="908" width="13.33203125" bestFit="1" customWidth="1"/>
    <col min="909" max="909" width="9" bestFit="1" customWidth="1"/>
    <col min="910" max="910" width="11.6640625" bestFit="1" customWidth="1"/>
    <col min="911" max="911" width="11" bestFit="1" customWidth="1"/>
    <col min="912" max="912" width="13.33203125" bestFit="1" customWidth="1"/>
    <col min="913" max="913" width="11" bestFit="1" customWidth="1"/>
    <col min="914" max="914" width="13.33203125" bestFit="1" customWidth="1"/>
    <col min="915" max="915" width="11" bestFit="1" customWidth="1"/>
    <col min="916" max="916" width="13.33203125" bestFit="1" customWidth="1"/>
    <col min="917" max="917" width="9" bestFit="1" customWidth="1"/>
    <col min="918" max="918" width="11.6640625" bestFit="1" customWidth="1"/>
    <col min="919" max="919" width="11" bestFit="1" customWidth="1"/>
    <col min="920" max="920" width="11.6640625" bestFit="1" customWidth="1"/>
    <col min="921" max="921" width="12" bestFit="1" customWidth="1"/>
    <col min="922" max="922" width="13.33203125" bestFit="1" customWidth="1"/>
    <col min="923" max="923" width="9" bestFit="1" customWidth="1"/>
    <col min="924" max="924" width="11.6640625" bestFit="1" customWidth="1"/>
    <col min="925" max="925" width="11" bestFit="1" customWidth="1"/>
    <col min="926" max="926" width="13.33203125" bestFit="1" customWidth="1"/>
    <col min="927" max="927" width="11" bestFit="1" customWidth="1"/>
    <col min="928" max="928" width="13.33203125" bestFit="1" customWidth="1"/>
    <col min="929" max="929" width="9" bestFit="1" customWidth="1"/>
    <col min="930" max="930" width="11.6640625" bestFit="1" customWidth="1"/>
    <col min="931" max="931" width="9" bestFit="1" customWidth="1"/>
    <col min="932" max="932" width="11.6640625" bestFit="1" customWidth="1"/>
    <col min="933" max="933" width="11" bestFit="1" customWidth="1"/>
    <col min="934" max="934" width="13.33203125" bestFit="1" customWidth="1"/>
    <col min="935" max="935" width="9" bestFit="1" customWidth="1"/>
    <col min="936" max="936" width="11.6640625" bestFit="1" customWidth="1"/>
    <col min="937" max="937" width="11" bestFit="1" customWidth="1"/>
    <col min="938" max="938" width="11.6640625" bestFit="1" customWidth="1"/>
    <col min="939" max="939" width="12" bestFit="1" customWidth="1"/>
    <col min="940" max="940" width="13.33203125" bestFit="1" customWidth="1"/>
    <col min="941" max="941" width="9" bestFit="1" customWidth="1"/>
    <col min="942" max="942" width="11.6640625" bestFit="1" customWidth="1"/>
    <col min="943" max="943" width="11" bestFit="1" customWidth="1"/>
    <col min="944" max="944" width="13.33203125" bestFit="1" customWidth="1"/>
    <col min="945" max="945" width="11" bestFit="1" customWidth="1"/>
    <col min="946" max="946" width="13.33203125" bestFit="1" customWidth="1"/>
    <col min="947" max="947" width="9" bestFit="1" customWidth="1"/>
    <col min="948" max="948" width="11.6640625" bestFit="1" customWidth="1"/>
    <col min="949" max="949" width="12" bestFit="1" customWidth="1"/>
    <col min="950" max="950" width="11.6640625" bestFit="1" customWidth="1"/>
    <col min="951" max="951" width="9" bestFit="1" customWidth="1"/>
    <col min="952" max="952" width="11.6640625" bestFit="1" customWidth="1"/>
    <col min="953" max="953" width="11" bestFit="1" customWidth="1"/>
    <col min="954" max="954" width="13.33203125" bestFit="1" customWidth="1"/>
    <col min="955" max="955" width="9" bestFit="1" customWidth="1"/>
    <col min="956" max="956" width="11.6640625" bestFit="1" customWidth="1"/>
    <col min="957" max="957" width="9" bestFit="1" customWidth="1"/>
    <col min="958" max="958" width="11.6640625" bestFit="1" customWidth="1"/>
    <col min="959" max="959" width="11" bestFit="1" customWidth="1"/>
    <col min="960" max="960" width="13.33203125" bestFit="1" customWidth="1"/>
    <col min="961" max="961" width="11" bestFit="1" customWidth="1"/>
    <col min="962" max="962" width="11.6640625" bestFit="1" customWidth="1"/>
    <col min="963" max="963" width="11" bestFit="1" customWidth="1"/>
    <col min="964" max="964" width="13.33203125" bestFit="1" customWidth="1"/>
    <col min="965" max="965" width="9" bestFit="1" customWidth="1"/>
    <col min="966" max="966" width="11.6640625" bestFit="1" customWidth="1"/>
    <col min="967" max="967" width="11" bestFit="1" customWidth="1"/>
    <col min="968" max="968" width="11.6640625" bestFit="1" customWidth="1"/>
    <col min="969" max="969" width="11" bestFit="1" customWidth="1"/>
    <col min="970" max="970" width="13.33203125" bestFit="1" customWidth="1"/>
    <col min="971" max="971" width="11" bestFit="1" customWidth="1"/>
    <col min="972" max="972" width="11.6640625" bestFit="1" customWidth="1"/>
    <col min="973" max="973" width="11" bestFit="1" customWidth="1"/>
    <col min="974" max="974" width="11.6640625" bestFit="1" customWidth="1"/>
    <col min="975" max="975" width="9" bestFit="1" customWidth="1"/>
    <col min="976" max="976" width="11.6640625" bestFit="1" customWidth="1"/>
    <col min="977" max="977" width="11" bestFit="1" customWidth="1"/>
    <col min="978" max="978" width="11.6640625" bestFit="1" customWidth="1"/>
    <col min="979" max="979" width="11" bestFit="1" customWidth="1"/>
    <col min="980" max="980" width="13.33203125" bestFit="1" customWidth="1"/>
    <col min="981" max="981" width="12" bestFit="1" customWidth="1"/>
    <col min="982" max="982" width="13.33203125" bestFit="1" customWidth="1"/>
    <col min="983" max="983" width="11" bestFit="1" customWidth="1"/>
    <col min="984" max="984" width="13.33203125" bestFit="1" customWidth="1"/>
    <col min="985" max="985" width="11" bestFit="1" customWidth="1"/>
    <col min="986" max="986" width="13.33203125" bestFit="1" customWidth="1"/>
    <col min="987" max="987" width="9" bestFit="1" customWidth="1"/>
    <col min="988" max="988" width="11.6640625" bestFit="1" customWidth="1"/>
    <col min="989" max="989" width="11" bestFit="1" customWidth="1"/>
    <col min="990" max="990" width="11.6640625" bestFit="1" customWidth="1"/>
    <col min="991" max="991" width="11" bestFit="1" customWidth="1"/>
    <col min="992" max="992" width="11.6640625" bestFit="1" customWidth="1"/>
    <col min="993" max="993" width="11" bestFit="1" customWidth="1"/>
    <col min="994" max="994" width="13.33203125" bestFit="1" customWidth="1"/>
    <col min="995" max="995" width="9" bestFit="1" customWidth="1"/>
    <col min="996" max="996" width="11.6640625" bestFit="1" customWidth="1"/>
    <col min="997" max="997" width="12" bestFit="1" customWidth="1"/>
    <col min="998" max="998" width="13.33203125" bestFit="1" customWidth="1"/>
    <col min="999" max="999" width="9" bestFit="1" customWidth="1"/>
    <col min="1000" max="1000" width="11.6640625" bestFit="1" customWidth="1"/>
    <col min="1001" max="1001" width="9" bestFit="1" customWidth="1"/>
    <col min="1002" max="1002" width="11.6640625" bestFit="1" customWidth="1"/>
    <col min="1003" max="1003" width="11" bestFit="1" customWidth="1"/>
    <col min="1004" max="1004" width="11.6640625" bestFit="1" customWidth="1"/>
    <col min="1005" max="1005" width="9" bestFit="1" customWidth="1"/>
    <col min="1006" max="1006" width="11.6640625" bestFit="1" customWidth="1"/>
    <col min="1007" max="1007" width="10.77734375" bestFit="1" customWidth="1"/>
    <col min="1008" max="1008" width="10" bestFit="1" customWidth="1"/>
    <col min="1009" max="1010" width="10.6640625" bestFit="1" customWidth="1"/>
    <col min="1011" max="1011" width="10" bestFit="1" customWidth="1"/>
    <col min="1012" max="1013" width="12.21875" bestFit="1" customWidth="1"/>
    <col min="1014" max="1014" width="14" bestFit="1" customWidth="1"/>
    <col min="1015" max="1015" width="21.5546875" bestFit="1" customWidth="1"/>
    <col min="1016" max="1016" width="12.21875" bestFit="1" customWidth="1"/>
    <col min="1017" max="1017" width="10" bestFit="1" customWidth="1"/>
    <col min="1018" max="1018" width="11.21875" bestFit="1" customWidth="1"/>
    <col min="1019" max="1019" width="10.6640625" bestFit="1" customWidth="1"/>
    <col min="1020" max="1020" width="10" bestFit="1" customWidth="1"/>
    <col min="1021" max="1022" width="12.21875" bestFit="1" customWidth="1"/>
    <col min="1023" max="1023" width="10" bestFit="1" customWidth="1"/>
    <col min="1024" max="1024" width="11.21875" bestFit="1" customWidth="1"/>
    <col min="1025" max="1025" width="10.6640625" bestFit="1" customWidth="1"/>
    <col min="1026" max="1026" width="10" bestFit="1" customWidth="1"/>
    <col min="1027" max="1027" width="11.21875" bestFit="1" customWidth="1"/>
    <col min="1028" max="1028" width="10.6640625" bestFit="1" customWidth="1"/>
    <col min="1029" max="1029" width="14" bestFit="1" customWidth="1"/>
    <col min="1030" max="1030" width="21.5546875" bestFit="1" customWidth="1"/>
    <col min="1031" max="1031" width="12.21875" bestFit="1" customWidth="1"/>
    <col min="1032" max="1032" width="10" bestFit="1" customWidth="1"/>
    <col min="1033" max="1034" width="12.21875" bestFit="1" customWidth="1"/>
    <col min="1035" max="1035" width="10" bestFit="1" customWidth="1"/>
    <col min="1036" max="1037" width="12.21875" bestFit="1" customWidth="1"/>
    <col min="1038" max="1038" width="10" bestFit="1" customWidth="1"/>
    <col min="1039" max="1040" width="12.21875" bestFit="1" customWidth="1"/>
    <col min="1041" max="1041" width="9" bestFit="1" customWidth="1"/>
    <col min="1042" max="1042" width="11.21875" bestFit="1" customWidth="1"/>
    <col min="1043" max="1043" width="10.6640625" bestFit="1" customWidth="1"/>
    <col min="1044" max="1044" width="9" bestFit="1" customWidth="1"/>
    <col min="1045" max="1045" width="11.21875" bestFit="1" customWidth="1"/>
    <col min="1046" max="1046" width="10.6640625" bestFit="1" customWidth="1"/>
    <col min="1047" max="1047" width="9" bestFit="1" customWidth="1"/>
    <col min="1048" max="1048" width="11.21875" bestFit="1" customWidth="1"/>
    <col min="1049" max="1049" width="10.6640625" bestFit="1" customWidth="1"/>
    <col min="1050" max="1050" width="14" bestFit="1" customWidth="1"/>
    <col min="1051" max="1051" width="21.5546875" bestFit="1" customWidth="1"/>
    <col min="1052" max="1052" width="12.21875" bestFit="1" customWidth="1"/>
    <col min="1053" max="1053" width="14" bestFit="1" customWidth="1"/>
    <col min="1054" max="1054" width="21.5546875" bestFit="1" customWidth="1"/>
    <col min="1055" max="1055" width="10.6640625" bestFit="1" customWidth="1"/>
    <col min="1056" max="1056" width="10" bestFit="1" customWidth="1"/>
    <col min="1057" max="1058" width="12.21875" bestFit="1" customWidth="1"/>
    <col min="1059" max="1059" width="10" bestFit="1" customWidth="1"/>
    <col min="1060" max="1060" width="11.21875" bestFit="1" customWidth="1"/>
    <col min="1061" max="1061" width="10.6640625" bestFit="1" customWidth="1"/>
    <col min="1062" max="1062" width="11" bestFit="1" customWidth="1"/>
    <col min="1063" max="1063" width="13.33203125" bestFit="1" customWidth="1"/>
    <col min="1064" max="1064" width="12.21875" bestFit="1" customWidth="1"/>
    <col min="1065" max="1065" width="9" bestFit="1" customWidth="1"/>
    <col min="1066" max="1066" width="11.21875" bestFit="1" customWidth="1"/>
    <col min="1067" max="1067" width="10.6640625" bestFit="1" customWidth="1"/>
    <col min="1068" max="1068" width="10" bestFit="1" customWidth="1"/>
    <col min="1069" max="1070" width="12.21875" bestFit="1" customWidth="1"/>
    <col min="1071" max="1071" width="10" bestFit="1" customWidth="1"/>
    <col min="1072" max="1073" width="12.21875" bestFit="1" customWidth="1"/>
    <col min="1074" max="1074" width="10" bestFit="1" customWidth="1"/>
    <col min="1075" max="1076" width="12.21875" bestFit="1" customWidth="1"/>
    <col min="1077" max="1077" width="10" bestFit="1" customWidth="1"/>
    <col min="1078" max="1079" width="12.21875" bestFit="1" customWidth="1"/>
    <col min="1080" max="1080" width="11" bestFit="1" customWidth="1"/>
    <col min="1081" max="1082" width="13.33203125" bestFit="1" customWidth="1"/>
    <col min="1083" max="1083" width="14" bestFit="1" customWidth="1"/>
    <col min="1084" max="1084" width="21.5546875" bestFit="1" customWidth="1"/>
    <col min="1085" max="1085" width="11.6640625" bestFit="1" customWidth="1"/>
    <col min="1086" max="1086" width="14" bestFit="1" customWidth="1"/>
    <col min="1087" max="1087" width="21.5546875" bestFit="1" customWidth="1"/>
    <col min="1088" max="1088" width="11.6640625" bestFit="1" customWidth="1"/>
    <col min="1089" max="1089" width="11" bestFit="1" customWidth="1"/>
    <col min="1090" max="1091" width="13.33203125" bestFit="1" customWidth="1"/>
    <col min="1092" max="1092" width="10" bestFit="1" customWidth="1"/>
    <col min="1093" max="1093" width="12.21875" bestFit="1" customWidth="1"/>
    <col min="1094" max="1094" width="11.6640625" bestFit="1" customWidth="1"/>
    <col min="1095" max="1095" width="11" bestFit="1" customWidth="1"/>
    <col min="1096" max="1096" width="12.21875" bestFit="1" customWidth="1"/>
    <col min="1097" max="1097" width="11.6640625" bestFit="1" customWidth="1"/>
    <col min="1098" max="1098" width="11" bestFit="1" customWidth="1"/>
    <col min="1099" max="1100" width="13.33203125" bestFit="1" customWidth="1"/>
    <col min="1101" max="1101" width="11" bestFit="1" customWidth="1"/>
    <col min="1102" max="1102" width="10.6640625" bestFit="1" customWidth="1"/>
    <col min="1103" max="1103" width="11.6640625" bestFit="1" customWidth="1"/>
    <col min="1104" max="1104" width="11" bestFit="1" customWidth="1"/>
    <col min="1105" max="1106" width="13.33203125" bestFit="1" customWidth="1"/>
    <col min="1107" max="1107" width="10" bestFit="1" customWidth="1"/>
    <col min="1108" max="1108" width="12.21875" bestFit="1" customWidth="1"/>
    <col min="1109" max="1109" width="11.6640625" bestFit="1" customWidth="1"/>
    <col min="1110" max="1110" width="11" bestFit="1" customWidth="1"/>
    <col min="1111" max="1112" width="13.33203125" bestFit="1" customWidth="1"/>
    <col min="1113" max="1113" width="11" bestFit="1" customWidth="1"/>
    <col min="1114" max="1114" width="12.21875" bestFit="1" customWidth="1"/>
    <col min="1115" max="1115" width="11.6640625" bestFit="1" customWidth="1"/>
    <col min="1116" max="1116" width="11" bestFit="1" customWidth="1"/>
    <col min="1117" max="1118" width="13.33203125" bestFit="1" customWidth="1"/>
    <col min="1119" max="1119" width="11" bestFit="1" customWidth="1"/>
    <col min="1120" max="1121" width="13.33203125" bestFit="1" customWidth="1"/>
    <col min="1122" max="1122" width="11" bestFit="1" customWidth="1"/>
    <col min="1123" max="1124" width="13.33203125" bestFit="1" customWidth="1"/>
    <col min="1125" max="1125" width="14" bestFit="1" customWidth="1"/>
    <col min="1126" max="1126" width="21.5546875" bestFit="1" customWidth="1"/>
    <col min="1127" max="1127" width="13.33203125" bestFit="1" customWidth="1"/>
    <col min="1128" max="1128" width="11" bestFit="1" customWidth="1"/>
    <col min="1129" max="1130" width="13.33203125" bestFit="1" customWidth="1"/>
    <col min="1131" max="1131" width="10" bestFit="1" customWidth="1"/>
    <col min="1132" max="1132" width="12.21875" bestFit="1" customWidth="1"/>
    <col min="1133" max="1133" width="11.6640625" bestFit="1" customWidth="1"/>
    <col min="1134" max="1134" width="11" bestFit="1" customWidth="1"/>
    <col min="1135" max="1136" width="13.33203125" bestFit="1" customWidth="1"/>
    <col min="1137" max="1137" width="10" bestFit="1" customWidth="1"/>
    <col min="1138" max="1138" width="12.21875" bestFit="1" customWidth="1"/>
    <col min="1139" max="1139" width="11.6640625" bestFit="1" customWidth="1"/>
    <col min="1140" max="1140" width="10" bestFit="1" customWidth="1"/>
    <col min="1141" max="1141" width="12.21875" bestFit="1" customWidth="1"/>
    <col min="1142" max="1142" width="11.6640625" bestFit="1" customWidth="1"/>
    <col min="1143" max="1143" width="11" bestFit="1" customWidth="1"/>
    <col min="1144" max="1144" width="12.21875" bestFit="1" customWidth="1"/>
    <col min="1145" max="1145" width="11.6640625" bestFit="1" customWidth="1"/>
    <col min="1146" max="1146" width="9" bestFit="1" customWidth="1"/>
    <col min="1147" max="1147" width="10.6640625" bestFit="1" customWidth="1"/>
    <col min="1148" max="1148" width="11.6640625" bestFit="1" customWidth="1"/>
    <col min="1149" max="1149" width="11" bestFit="1" customWidth="1"/>
    <col min="1150" max="1150" width="12.21875" bestFit="1" customWidth="1"/>
    <col min="1151" max="1151" width="11.6640625" bestFit="1" customWidth="1"/>
    <col min="1152" max="1152" width="11" bestFit="1" customWidth="1"/>
    <col min="1153" max="1154" width="13.33203125" bestFit="1" customWidth="1"/>
    <col min="1155" max="1155" width="14" bestFit="1" customWidth="1"/>
    <col min="1156" max="1156" width="21.5546875" bestFit="1" customWidth="1"/>
    <col min="1157" max="1157" width="13.33203125" bestFit="1" customWidth="1"/>
    <col min="1158" max="1158" width="11" bestFit="1" customWidth="1"/>
    <col min="1159" max="1160" width="13.33203125" bestFit="1" customWidth="1"/>
    <col min="1161" max="1161" width="11" bestFit="1" customWidth="1"/>
    <col min="1162" max="1162" width="12.21875" bestFit="1" customWidth="1"/>
    <col min="1163" max="1163" width="11.6640625" bestFit="1" customWidth="1"/>
    <col min="1164" max="1164" width="11" bestFit="1" customWidth="1"/>
    <col min="1165" max="1166" width="13.33203125" bestFit="1" customWidth="1"/>
    <col min="1167" max="1167" width="11" bestFit="1" customWidth="1"/>
    <col min="1168" max="1168" width="10.6640625" bestFit="1" customWidth="1"/>
    <col min="1169" max="1169" width="11.6640625" bestFit="1" customWidth="1"/>
    <col min="1170" max="1170" width="11" bestFit="1" customWidth="1"/>
    <col min="1171" max="1171" width="12.21875" bestFit="1" customWidth="1"/>
    <col min="1172" max="1172" width="11.6640625" bestFit="1" customWidth="1"/>
    <col min="1173" max="1173" width="11" bestFit="1" customWidth="1"/>
    <col min="1174" max="1175" width="13.33203125" bestFit="1" customWidth="1"/>
    <col min="1176" max="1176" width="11" bestFit="1" customWidth="1"/>
    <col min="1177" max="1178" width="13.33203125" bestFit="1" customWidth="1"/>
    <col min="1179" max="1179" width="11" bestFit="1" customWidth="1"/>
    <col min="1180" max="1181" width="13.33203125" bestFit="1" customWidth="1"/>
    <col min="1182" max="1182" width="11" bestFit="1" customWidth="1"/>
    <col min="1183" max="1184" width="13.33203125" bestFit="1" customWidth="1"/>
    <col min="1185" max="1185" width="10" bestFit="1" customWidth="1"/>
    <col min="1186" max="1186" width="12.21875" bestFit="1" customWidth="1"/>
    <col min="1187" max="1187" width="11.6640625" bestFit="1" customWidth="1"/>
    <col min="1188" max="1188" width="11" bestFit="1" customWidth="1"/>
    <col min="1189" max="1190" width="13.33203125" bestFit="1" customWidth="1"/>
    <col min="1191" max="1191" width="11" bestFit="1" customWidth="1"/>
    <col min="1192" max="1192" width="12.21875" bestFit="1" customWidth="1"/>
    <col min="1193" max="1193" width="11.6640625" bestFit="1" customWidth="1"/>
    <col min="1194" max="1194" width="11" bestFit="1" customWidth="1"/>
    <col min="1195" max="1196" width="13.33203125" bestFit="1" customWidth="1"/>
    <col min="1197" max="1197" width="10" bestFit="1" customWidth="1"/>
    <col min="1198" max="1198" width="12.21875" bestFit="1" customWidth="1"/>
    <col min="1199" max="1199" width="11.6640625" bestFit="1" customWidth="1"/>
    <col min="1200" max="1200" width="11" bestFit="1" customWidth="1"/>
    <col min="1201" max="1201" width="12.21875" bestFit="1" customWidth="1"/>
    <col min="1202" max="1202" width="11.6640625" bestFit="1" customWidth="1"/>
    <col min="1203" max="1203" width="11" bestFit="1" customWidth="1"/>
    <col min="1204" max="1205" width="13.33203125" bestFit="1" customWidth="1"/>
    <col min="1206" max="1206" width="11" bestFit="1" customWidth="1"/>
    <col min="1207" max="1207" width="12.21875" bestFit="1" customWidth="1"/>
    <col min="1208" max="1208" width="11.6640625" bestFit="1" customWidth="1"/>
    <col min="1209" max="1209" width="14" bestFit="1" customWidth="1"/>
    <col min="1210" max="1210" width="21.5546875" bestFit="1" customWidth="1"/>
    <col min="1211" max="1211" width="11.6640625" bestFit="1" customWidth="1"/>
    <col min="1212" max="1212" width="11" bestFit="1" customWidth="1"/>
    <col min="1213" max="1213" width="12.21875" bestFit="1" customWidth="1"/>
    <col min="1214" max="1214" width="11.6640625" bestFit="1" customWidth="1"/>
    <col min="1215" max="1215" width="10" bestFit="1" customWidth="1"/>
    <col min="1216" max="1216" width="12.21875" bestFit="1" customWidth="1"/>
    <col min="1217" max="1217" width="11.6640625" bestFit="1" customWidth="1"/>
    <col min="1218" max="1218" width="11" bestFit="1" customWidth="1"/>
    <col min="1219" max="1220" width="13.33203125" bestFit="1" customWidth="1"/>
    <col min="1221" max="1221" width="11" bestFit="1" customWidth="1"/>
    <col min="1222" max="1223" width="13.33203125" bestFit="1" customWidth="1"/>
    <col min="1224" max="1224" width="11" bestFit="1" customWidth="1"/>
    <col min="1225" max="1226" width="13.33203125" bestFit="1" customWidth="1"/>
    <col min="1227" max="1227" width="11" bestFit="1" customWidth="1"/>
    <col min="1228" max="1228" width="12.21875" bestFit="1" customWidth="1"/>
    <col min="1229" max="1229" width="11.6640625" bestFit="1" customWidth="1"/>
    <col min="1230" max="1230" width="11" bestFit="1" customWidth="1"/>
    <col min="1231" max="1232" width="13.33203125" bestFit="1" customWidth="1"/>
    <col min="1233" max="1233" width="11" bestFit="1" customWidth="1"/>
    <col min="1234" max="1235" width="13.33203125" bestFit="1" customWidth="1"/>
    <col min="1236" max="1236" width="11" bestFit="1" customWidth="1"/>
    <col min="1237" max="1238" width="13.33203125" bestFit="1" customWidth="1"/>
    <col min="1239" max="1239" width="11" bestFit="1" customWidth="1"/>
    <col min="1240" max="1240" width="10.6640625" bestFit="1" customWidth="1"/>
    <col min="1241" max="1241" width="11.6640625" bestFit="1" customWidth="1"/>
    <col min="1242" max="1242" width="14" bestFit="1" customWidth="1"/>
    <col min="1243" max="1243" width="21.5546875" bestFit="1" customWidth="1"/>
    <col min="1244" max="1244" width="11.6640625" bestFit="1" customWidth="1"/>
    <col min="1245" max="1245" width="11" bestFit="1" customWidth="1"/>
    <col min="1246" max="1247" width="13.33203125" bestFit="1" customWidth="1"/>
    <col min="1248" max="1248" width="11" bestFit="1" customWidth="1"/>
    <col min="1249" max="1250" width="13.33203125" bestFit="1" customWidth="1"/>
    <col min="1251" max="1251" width="11" bestFit="1" customWidth="1"/>
    <col min="1252" max="1253" width="13.33203125" bestFit="1" customWidth="1"/>
    <col min="1254" max="1254" width="11" bestFit="1" customWidth="1"/>
    <col min="1255" max="1256" width="13.33203125" bestFit="1" customWidth="1"/>
    <col min="1257" max="1257" width="11" bestFit="1" customWidth="1"/>
    <col min="1258" max="1258" width="12.21875" bestFit="1" customWidth="1"/>
    <col min="1259" max="1259" width="13.33203125" bestFit="1" customWidth="1"/>
    <col min="1260" max="1260" width="14" bestFit="1" customWidth="1"/>
    <col min="1261" max="1261" width="21.5546875" bestFit="1" customWidth="1"/>
    <col min="1262" max="1262" width="13.33203125" bestFit="1" customWidth="1"/>
    <col min="1263" max="1263" width="11" bestFit="1" customWidth="1"/>
    <col min="1264" max="1264" width="12.21875" bestFit="1" customWidth="1"/>
    <col min="1265" max="1265" width="11.6640625" bestFit="1" customWidth="1"/>
    <col min="1266" max="1266" width="11" bestFit="1" customWidth="1"/>
    <col min="1267" max="1268" width="13.33203125" bestFit="1" customWidth="1"/>
    <col min="1269" max="1269" width="11" bestFit="1" customWidth="1"/>
    <col min="1270" max="1271" width="13.33203125" bestFit="1" customWidth="1"/>
    <col min="1272" max="1272" width="12" bestFit="1" customWidth="1"/>
    <col min="1273" max="1273" width="12.21875" bestFit="1" customWidth="1"/>
    <col min="1274" max="1274" width="11.6640625" bestFit="1" customWidth="1"/>
    <col min="1275" max="1275" width="11" bestFit="1" customWidth="1"/>
    <col min="1276" max="1277" width="13.33203125" bestFit="1" customWidth="1"/>
    <col min="1278" max="1278" width="10" bestFit="1" customWidth="1"/>
    <col min="1279" max="1279" width="12.21875" bestFit="1" customWidth="1"/>
    <col min="1280" max="1280" width="11.6640625" bestFit="1" customWidth="1"/>
    <col min="1281" max="1281" width="11" bestFit="1" customWidth="1"/>
    <col min="1282" max="1282" width="12.21875" bestFit="1" customWidth="1"/>
    <col min="1283" max="1283" width="11.6640625" bestFit="1" customWidth="1"/>
    <col min="1284" max="1284" width="9" bestFit="1" customWidth="1"/>
    <col min="1285" max="1285" width="10.6640625" bestFit="1" customWidth="1"/>
    <col min="1286" max="1286" width="11.6640625" bestFit="1" customWidth="1"/>
    <col min="1287" max="1287" width="14" bestFit="1" customWidth="1"/>
    <col min="1288" max="1288" width="21.5546875" bestFit="1" customWidth="1"/>
    <col min="1289" max="1289" width="11.6640625" bestFit="1" customWidth="1"/>
    <col min="1290" max="1290" width="11" bestFit="1" customWidth="1"/>
    <col min="1291" max="1291" width="10.6640625" bestFit="1" customWidth="1"/>
    <col min="1292" max="1292" width="11.6640625" bestFit="1" customWidth="1"/>
    <col min="1293" max="1293" width="11" bestFit="1" customWidth="1"/>
    <col min="1294" max="1295" width="13.33203125" bestFit="1" customWidth="1"/>
    <col min="1296" max="1296" width="11" bestFit="1" customWidth="1"/>
    <col min="1297" max="1297" width="12.21875" bestFit="1" customWidth="1"/>
    <col min="1298" max="1298" width="11.6640625" bestFit="1" customWidth="1"/>
    <col min="1299" max="1299" width="11" bestFit="1" customWidth="1"/>
    <col min="1300" max="1301" width="13.33203125" bestFit="1" customWidth="1"/>
    <col min="1302" max="1302" width="11" bestFit="1" customWidth="1"/>
    <col min="1303" max="1303" width="12.21875" bestFit="1" customWidth="1"/>
    <col min="1304" max="1304" width="11.6640625" bestFit="1" customWidth="1"/>
    <col min="1305" max="1305" width="12" bestFit="1" customWidth="1"/>
    <col min="1306" max="1306" width="12.21875" bestFit="1" customWidth="1"/>
    <col min="1307" max="1307" width="11.6640625" bestFit="1" customWidth="1"/>
    <col min="1308" max="1308" width="11" bestFit="1" customWidth="1"/>
    <col min="1309" max="1310" width="13.33203125" bestFit="1" customWidth="1"/>
    <col min="1311" max="1311" width="11" bestFit="1" customWidth="1"/>
    <col min="1312" max="1313" width="13.33203125" bestFit="1" customWidth="1"/>
    <col min="1314" max="1314" width="11" bestFit="1" customWidth="1"/>
    <col min="1315" max="1316" width="13.33203125" bestFit="1" customWidth="1"/>
    <col min="1317" max="1317" width="12" bestFit="1" customWidth="1"/>
    <col min="1318" max="1318" width="10.6640625" bestFit="1" customWidth="1"/>
    <col min="1319" max="1319" width="11.6640625" bestFit="1" customWidth="1"/>
    <col min="1320" max="1320" width="10" bestFit="1" customWidth="1"/>
    <col min="1321" max="1321" width="12.21875" bestFit="1" customWidth="1"/>
    <col min="1322" max="1322" width="11.6640625" bestFit="1" customWidth="1"/>
    <col min="1323" max="1323" width="10" bestFit="1" customWidth="1"/>
    <col min="1324" max="1324" width="12.21875" bestFit="1" customWidth="1"/>
    <col min="1325" max="1325" width="11.6640625" bestFit="1" customWidth="1"/>
    <col min="1326" max="1326" width="10" bestFit="1" customWidth="1"/>
    <col min="1327" max="1327" width="12.21875" bestFit="1" customWidth="1"/>
    <col min="1328" max="1328" width="11.6640625" bestFit="1" customWidth="1"/>
    <col min="1329" max="1329" width="11" bestFit="1" customWidth="1"/>
    <col min="1330" max="1331" width="13.33203125" bestFit="1" customWidth="1"/>
    <col min="1332" max="1332" width="14" bestFit="1" customWidth="1"/>
    <col min="1333" max="1333" width="21.5546875" bestFit="1" customWidth="1"/>
    <col min="1334" max="1334" width="11.6640625" bestFit="1" customWidth="1"/>
    <col min="1335" max="1335" width="12" bestFit="1" customWidth="1"/>
    <col min="1336" max="1336" width="12.21875" bestFit="1" customWidth="1"/>
    <col min="1337" max="1337" width="11.6640625" bestFit="1" customWidth="1"/>
    <col min="1338" max="1338" width="12" bestFit="1" customWidth="1"/>
    <col min="1339" max="1339" width="12.21875" bestFit="1" customWidth="1"/>
    <col min="1340" max="1340" width="13.33203125" bestFit="1" customWidth="1"/>
    <col min="1341" max="1341" width="10" bestFit="1" customWidth="1"/>
    <col min="1342" max="1342" width="12.21875" bestFit="1" customWidth="1"/>
    <col min="1343" max="1343" width="11.6640625" bestFit="1" customWidth="1"/>
    <col min="1344" max="1344" width="11" bestFit="1" customWidth="1"/>
    <col min="1345" max="1346" width="13.33203125" bestFit="1" customWidth="1"/>
    <col min="1347" max="1347" width="10" bestFit="1" customWidth="1"/>
    <col min="1348" max="1348" width="12.21875" bestFit="1" customWidth="1"/>
    <col min="1349" max="1349" width="11.6640625" bestFit="1" customWidth="1"/>
    <col min="1350" max="1350" width="11" bestFit="1" customWidth="1"/>
    <col min="1351" max="1351" width="12.21875" bestFit="1" customWidth="1"/>
    <col min="1352" max="1352" width="11.6640625" bestFit="1" customWidth="1"/>
    <col min="1353" max="1353" width="14" bestFit="1" customWidth="1"/>
    <col min="1354" max="1354" width="21.5546875" bestFit="1" customWidth="1"/>
    <col min="1355" max="1355" width="13.33203125" bestFit="1" customWidth="1"/>
    <col min="1356" max="1356" width="12" bestFit="1" customWidth="1"/>
    <col min="1357" max="1358" width="13.33203125" bestFit="1" customWidth="1"/>
    <col min="1359" max="1359" width="11" bestFit="1" customWidth="1"/>
    <col min="1360" max="1361" width="13.33203125" bestFit="1" customWidth="1"/>
    <col min="1362" max="1362" width="10" bestFit="1" customWidth="1"/>
    <col min="1363" max="1363" width="12.21875" bestFit="1" customWidth="1"/>
    <col min="1364" max="1364" width="11.6640625" bestFit="1" customWidth="1"/>
    <col min="1365" max="1365" width="11" bestFit="1" customWidth="1"/>
    <col min="1366" max="1367" width="13.33203125" bestFit="1" customWidth="1"/>
    <col min="1368" max="1368" width="11" bestFit="1" customWidth="1"/>
    <col min="1369" max="1370" width="13.33203125" bestFit="1" customWidth="1"/>
    <col min="1371" max="1371" width="11" bestFit="1" customWidth="1"/>
    <col min="1372" max="1373" width="13.33203125" bestFit="1" customWidth="1"/>
    <col min="1374" max="1374" width="9" bestFit="1" customWidth="1"/>
    <col min="1375" max="1375" width="10.6640625" bestFit="1" customWidth="1"/>
    <col min="1376" max="1376" width="11.6640625" bestFit="1" customWidth="1"/>
    <col min="1377" max="1377" width="11" bestFit="1" customWidth="1"/>
    <col min="1378" max="1378" width="12.21875" bestFit="1" customWidth="1"/>
    <col min="1379" max="1379" width="11.6640625" bestFit="1" customWidth="1"/>
    <col min="1380" max="1380" width="12" bestFit="1" customWidth="1"/>
    <col min="1381" max="1382" width="13.33203125" bestFit="1" customWidth="1"/>
    <col min="1383" max="1383" width="10" bestFit="1" customWidth="1"/>
    <col min="1384" max="1384" width="12.21875" bestFit="1" customWidth="1"/>
    <col min="1385" max="1385" width="11.6640625" bestFit="1" customWidth="1"/>
    <col min="1386" max="1386" width="11" bestFit="1" customWidth="1"/>
    <col min="1387" max="1388" width="13.33203125" bestFit="1" customWidth="1"/>
    <col min="1389" max="1389" width="11" bestFit="1" customWidth="1"/>
    <col min="1390" max="1391" width="13.33203125" bestFit="1" customWidth="1"/>
    <col min="1392" max="1392" width="10" bestFit="1" customWidth="1"/>
    <col min="1393" max="1393" width="12.21875" bestFit="1" customWidth="1"/>
    <col min="1394" max="1394" width="11.6640625" bestFit="1" customWidth="1"/>
    <col min="1395" max="1395" width="9" bestFit="1" customWidth="1"/>
    <col min="1396" max="1396" width="10.6640625" bestFit="1" customWidth="1"/>
    <col min="1397" max="1397" width="11.6640625" bestFit="1" customWidth="1"/>
    <col min="1398" max="1398" width="11" bestFit="1" customWidth="1"/>
    <col min="1399" max="1400" width="13.33203125" bestFit="1" customWidth="1"/>
    <col min="1401" max="1401" width="10" bestFit="1" customWidth="1"/>
    <col min="1402" max="1402" width="12.21875" bestFit="1" customWidth="1"/>
    <col min="1403" max="1403" width="11.6640625" bestFit="1" customWidth="1"/>
    <col min="1404" max="1404" width="11" bestFit="1" customWidth="1"/>
    <col min="1405" max="1405" width="12.21875" bestFit="1" customWidth="1"/>
    <col min="1406" max="1406" width="11.6640625" bestFit="1" customWidth="1"/>
    <col min="1407" max="1407" width="12" bestFit="1" customWidth="1"/>
    <col min="1408" max="1409" width="13.33203125" bestFit="1" customWidth="1"/>
    <col min="1410" max="1410" width="10" bestFit="1" customWidth="1"/>
    <col min="1411" max="1411" width="12.21875" bestFit="1" customWidth="1"/>
    <col min="1412" max="1412" width="11.6640625" bestFit="1" customWidth="1"/>
    <col min="1413" max="1413" width="11" bestFit="1" customWidth="1"/>
    <col min="1414" max="1415" width="13.33203125" bestFit="1" customWidth="1"/>
    <col min="1416" max="1416" width="11" bestFit="1" customWidth="1"/>
    <col min="1417" max="1418" width="13.33203125" bestFit="1" customWidth="1"/>
    <col min="1419" max="1419" width="10" bestFit="1" customWidth="1"/>
    <col min="1420" max="1420" width="12.21875" bestFit="1" customWidth="1"/>
    <col min="1421" max="1421" width="11.6640625" bestFit="1" customWidth="1"/>
    <col min="1422" max="1422" width="12" bestFit="1" customWidth="1"/>
    <col min="1423" max="1423" width="12.21875" bestFit="1" customWidth="1"/>
    <col min="1424" max="1424" width="11.6640625" bestFit="1" customWidth="1"/>
    <col min="1425" max="1425" width="10" bestFit="1" customWidth="1"/>
    <col min="1426" max="1426" width="12.21875" bestFit="1" customWidth="1"/>
    <col min="1427" max="1427" width="11.6640625" bestFit="1" customWidth="1"/>
    <col min="1428" max="1428" width="11" bestFit="1" customWidth="1"/>
    <col min="1429" max="1430" width="13.33203125" bestFit="1" customWidth="1"/>
    <col min="1431" max="1431" width="10" bestFit="1" customWidth="1"/>
    <col min="1432" max="1432" width="12.21875" bestFit="1" customWidth="1"/>
    <col min="1433" max="1433" width="11.6640625" bestFit="1" customWidth="1"/>
    <col min="1434" max="1434" width="10" bestFit="1" customWidth="1"/>
    <col min="1435" max="1435" width="12.21875" bestFit="1" customWidth="1"/>
    <col min="1436" max="1436" width="11.6640625" bestFit="1" customWidth="1"/>
    <col min="1437" max="1437" width="11" bestFit="1" customWidth="1"/>
    <col min="1438" max="1439" width="13.33203125" bestFit="1" customWidth="1"/>
    <col min="1440" max="1440" width="14" bestFit="1" customWidth="1"/>
    <col min="1441" max="1441" width="21.5546875" bestFit="1" customWidth="1"/>
    <col min="1442" max="1442" width="11.6640625" bestFit="1" customWidth="1"/>
    <col min="1443" max="1443" width="14" bestFit="1" customWidth="1"/>
    <col min="1444" max="1444" width="21.5546875" bestFit="1" customWidth="1"/>
    <col min="1445" max="1445" width="13.33203125" bestFit="1" customWidth="1"/>
    <col min="1446" max="1446" width="10" bestFit="1" customWidth="1"/>
    <col min="1447" max="1447" width="12.21875" bestFit="1" customWidth="1"/>
    <col min="1448" max="1448" width="11.6640625" bestFit="1" customWidth="1"/>
    <col min="1449" max="1449" width="14" bestFit="1" customWidth="1"/>
    <col min="1450" max="1450" width="21.5546875" bestFit="1" customWidth="1"/>
    <col min="1451" max="1451" width="11.6640625" bestFit="1" customWidth="1"/>
    <col min="1452" max="1452" width="14" bestFit="1" customWidth="1"/>
    <col min="1453" max="1453" width="21.5546875" bestFit="1" customWidth="1"/>
    <col min="1454" max="1454" width="13.33203125" bestFit="1" customWidth="1"/>
    <col min="1455" max="1455" width="11" bestFit="1" customWidth="1"/>
    <col min="1456" max="1456" width="12.21875" bestFit="1" customWidth="1"/>
    <col min="1457" max="1457" width="11.6640625" bestFit="1" customWidth="1"/>
    <col min="1458" max="1458" width="11" bestFit="1" customWidth="1"/>
    <col min="1459" max="1459" width="12.21875" bestFit="1" customWidth="1"/>
    <col min="1460" max="1460" width="11.6640625" bestFit="1" customWidth="1"/>
    <col min="1461" max="1461" width="10" bestFit="1" customWidth="1"/>
    <col min="1462" max="1462" width="12.21875" bestFit="1" customWidth="1"/>
    <col min="1463" max="1463" width="11.6640625" bestFit="1" customWidth="1"/>
    <col min="1464" max="1464" width="11" bestFit="1" customWidth="1"/>
    <col min="1465" max="1465" width="12.21875" bestFit="1" customWidth="1"/>
    <col min="1466" max="1466" width="11.6640625" bestFit="1" customWidth="1"/>
    <col min="1467" max="1467" width="11" bestFit="1" customWidth="1"/>
    <col min="1468" max="1469" width="13.33203125" bestFit="1" customWidth="1"/>
    <col min="1470" max="1470" width="12" bestFit="1" customWidth="1"/>
    <col min="1471" max="1472" width="13.33203125" bestFit="1" customWidth="1"/>
    <col min="1473" max="1473" width="11" bestFit="1" customWidth="1"/>
    <col min="1474" max="1475" width="13.33203125" bestFit="1" customWidth="1"/>
    <col min="1476" max="1476" width="11" bestFit="1" customWidth="1"/>
    <col min="1477" max="1478" width="13.33203125" bestFit="1" customWidth="1"/>
    <col min="1479" max="1479" width="10" bestFit="1" customWidth="1"/>
    <col min="1480" max="1480" width="12.21875" bestFit="1" customWidth="1"/>
    <col min="1481" max="1481" width="11.6640625" bestFit="1" customWidth="1"/>
    <col min="1482" max="1482" width="11" bestFit="1" customWidth="1"/>
    <col min="1483" max="1483" width="12.21875" bestFit="1" customWidth="1"/>
    <col min="1484" max="1484" width="11.6640625" bestFit="1" customWidth="1"/>
    <col min="1485" max="1485" width="11" bestFit="1" customWidth="1"/>
    <col min="1486" max="1486" width="10.6640625" bestFit="1" customWidth="1"/>
    <col min="1487" max="1487" width="11.6640625" bestFit="1" customWidth="1"/>
    <col min="1488" max="1488" width="11" bestFit="1" customWidth="1"/>
    <col min="1489" max="1490" width="13.33203125" bestFit="1" customWidth="1"/>
    <col min="1491" max="1491" width="9" bestFit="1" customWidth="1"/>
    <col min="1492" max="1492" width="10.6640625" bestFit="1" customWidth="1"/>
    <col min="1493" max="1493" width="11.6640625" bestFit="1" customWidth="1"/>
    <col min="1494" max="1494" width="14" bestFit="1" customWidth="1"/>
    <col min="1495" max="1495" width="21.5546875" bestFit="1" customWidth="1"/>
    <col min="1496" max="1496" width="13.33203125" bestFit="1" customWidth="1"/>
    <col min="1497" max="1497" width="14" bestFit="1" customWidth="1"/>
    <col min="1498" max="1498" width="21.5546875" bestFit="1" customWidth="1"/>
    <col min="1499" max="1499" width="11.6640625" bestFit="1" customWidth="1"/>
    <col min="1500" max="1500" width="10" bestFit="1" customWidth="1"/>
    <col min="1501" max="1501" width="12.21875" bestFit="1" customWidth="1"/>
    <col min="1502" max="1502" width="11.6640625" bestFit="1" customWidth="1"/>
    <col min="1503" max="1503" width="11" bestFit="1" customWidth="1"/>
    <col min="1504" max="1504" width="10.6640625" bestFit="1" customWidth="1"/>
    <col min="1505" max="1505" width="11.6640625" bestFit="1" customWidth="1"/>
    <col min="1506" max="1506" width="14" bestFit="1" customWidth="1"/>
    <col min="1507" max="1507" width="21.5546875" bestFit="1" customWidth="1"/>
    <col min="1508" max="1508" width="11.6640625" bestFit="1" customWidth="1"/>
    <col min="1509" max="1509" width="10.77734375" bestFit="1" customWidth="1"/>
  </cols>
  <sheetData>
    <row r="1" spans="1:15" ht="14.4" customHeight="1" x14ac:dyDescent="0.3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3" spans="1:15" x14ac:dyDescent="0.3">
      <c r="A3" s="13" t="s">
        <v>8</v>
      </c>
      <c r="B3" s="14">
        <v>23</v>
      </c>
    </row>
    <row r="5" spans="1:15" x14ac:dyDescent="0.3">
      <c r="A5" s="13" t="s">
        <v>27</v>
      </c>
      <c r="B5" t="s">
        <v>29</v>
      </c>
    </row>
    <row r="6" spans="1:15" x14ac:dyDescent="0.3">
      <c r="A6" s="14" t="s">
        <v>15</v>
      </c>
      <c r="B6" s="15">
        <v>12773003.030225001</v>
      </c>
    </row>
    <row r="7" spans="1:15" x14ac:dyDescent="0.3">
      <c r="A7" s="14" t="s">
        <v>14</v>
      </c>
      <c r="B7" s="15">
        <v>9516309.75</v>
      </c>
    </row>
    <row r="8" spans="1:15" x14ac:dyDescent="0.3">
      <c r="A8" s="14" t="s">
        <v>21</v>
      </c>
      <c r="B8" s="15">
        <v>6841781.5</v>
      </c>
    </row>
    <row r="9" spans="1:15" x14ac:dyDescent="0.3">
      <c r="A9" s="14" t="s">
        <v>28</v>
      </c>
      <c r="B9" s="15">
        <v>29131094.280225001</v>
      </c>
    </row>
    <row r="11" spans="1:15" x14ac:dyDescent="0.3">
      <c r="A11" s="13" t="s">
        <v>8</v>
      </c>
      <c r="B11" s="14">
        <v>23</v>
      </c>
    </row>
    <row r="13" spans="1:15" x14ac:dyDescent="0.3">
      <c r="A13" s="13" t="s">
        <v>27</v>
      </c>
      <c r="B13" t="s">
        <v>30</v>
      </c>
    </row>
    <row r="14" spans="1:15" x14ac:dyDescent="0.3">
      <c r="A14" s="14" t="s">
        <v>15</v>
      </c>
      <c r="B14" s="15">
        <v>76638018.181349993</v>
      </c>
    </row>
    <row r="15" spans="1:15" x14ac:dyDescent="0.3">
      <c r="A15" s="14" t="s">
        <v>14</v>
      </c>
      <c r="B15" s="15">
        <v>57097858.5</v>
      </c>
    </row>
    <row r="16" spans="1:15" x14ac:dyDescent="0.3">
      <c r="A16" s="14" t="s">
        <v>21</v>
      </c>
      <c r="B16" s="15">
        <v>41050689</v>
      </c>
    </row>
    <row r="17" spans="1:3" x14ac:dyDescent="0.3">
      <c r="A17" s="14" t="s">
        <v>28</v>
      </c>
      <c r="B17" s="15">
        <v>174786565.68134999</v>
      </c>
    </row>
    <row r="22" spans="1:3" x14ac:dyDescent="0.3">
      <c r="A22" s="13" t="s">
        <v>27</v>
      </c>
      <c r="B22" t="s">
        <v>30</v>
      </c>
      <c r="C22" t="s">
        <v>29</v>
      </c>
    </row>
    <row r="23" spans="1:3" x14ac:dyDescent="0.3">
      <c r="A23" s="14">
        <v>18</v>
      </c>
      <c r="B23" s="15">
        <v>694026564</v>
      </c>
      <c r="C23" s="15">
        <v>69402656.399999991</v>
      </c>
    </row>
    <row r="24" spans="1:3" x14ac:dyDescent="0.3">
      <c r="A24" s="14">
        <v>19</v>
      </c>
      <c r="B24" s="15">
        <v>977218631.25059998</v>
      </c>
      <c r="C24" s="15">
        <v>97721863.125059962</v>
      </c>
    </row>
    <row r="25" spans="1:3" x14ac:dyDescent="0.3">
      <c r="A25" s="14">
        <v>20</v>
      </c>
      <c r="B25" s="15">
        <v>966875670.33000004</v>
      </c>
      <c r="C25" s="15">
        <v>96687567.032999992</v>
      </c>
    </row>
    <row r="26" spans="1:3" x14ac:dyDescent="0.3">
      <c r="A26" s="14">
        <v>21</v>
      </c>
      <c r="B26" s="15">
        <v>997827662.04659998</v>
      </c>
      <c r="C26" s="15">
        <v>99782766.204660013</v>
      </c>
    </row>
    <row r="27" spans="1:3" x14ac:dyDescent="0.3">
      <c r="A27" s="14">
        <v>22</v>
      </c>
      <c r="B27" s="15">
        <v>1044249379.25385</v>
      </c>
      <c r="C27" s="15">
        <v>137661631.27197853</v>
      </c>
    </row>
    <row r="28" spans="1:3" x14ac:dyDescent="0.3">
      <c r="A28" s="14">
        <v>23</v>
      </c>
      <c r="B28" s="15">
        <v>282161310.18134999</v>
      </c>
      <c r="C28" s="15">
        <v>47026885.030225001</v>
      </c>
    </row>
    <row r="29" spans="1:3" x14ac:dyDescent="0.3">
      <c r="A29" s="14" t="s">
        <v>28</v>
      </c>
      <c r="B29" s="15">
        <v>4962359217.0623999</v>
      </c>
      <c r="C29" s="15">
        <v>548283369.06492352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Решение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Talgatbek Tleubekov</cp:lastModifiedBy>
  <dcterms:created xsi:type="dcterms:W3CDTF">2021-09-13T10:17:58Z</dcterms:created>
  <dcterms:modified xsi:type="dcterms:W3CDTF">2026-10-01T12:28:03Z</dcterms:modified>
</cp:coreProperties>
</file>